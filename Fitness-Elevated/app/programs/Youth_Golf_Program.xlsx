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Annual Calendar" sheetId="2" r:id="rId6"/>
    <sheet state="visible" name="Session Blueprint" sheetId="3" r:id="rId7"/>
    <sheet state="visible" name="13U Day 1" sheetId="4" r:id="rId8"/>
    <sheet state="visible" name="17U Day 1" sheetId="5" r:id="rId9"/>
    <sheet state="visible" name="13U Day 2" sheetId="6" r:id="rId10"/>
    <sheet state="visible" name="17U Day 2" sheetId="7" r:id="rId11"/>
    <sheet state="visible" name="Exercise Library" sheetId="8" r:id="rId12"/>
    <sheet state="visible" name="Equipment Map" sheetId="9" r:id="rId13"/>
    <sheet state="visible" name="Symmetry Testing" sheetId="10" r:id="rId14"/>
  </sheets>
  <definedNames/>
  <calcPr/>
</workbook>
</file>

<file path=xl/sharedStrings.xml><?xml version="1.0" encoding="utf-8"?>
<sst xmlns="http://schemas.openxmlformats.org/spreadsheetml/2006/main" count="588" uniqueCount="407">
  <si>
    <t>YOUTH GOLF ATHLETIC DEVELOPMENT PROGRAM</t>
  </si>
  <si>
    <t>Year-Round | 2x / Week | 13U &amp; 17U | Built for Bilateral Balance &amp; Symmetry</t>
  </si>
  <si>
    <t>THE CORE PRINCIPLE</t>
  </si>
  <si>
    <t>Golf is a one-direction sport. Every competitive swing loads the body asymmetrically - the same rotation, the same lead side, thousands of times a year. Left unchecked this builds measurable left/right imbalances that limit performance and raise injury risk. This program is engineered around one rule: EVERY unilateral and rotational exercise is trained EQUALLY on BOTH sides. Balance and symmetry are not a warm-up afterthought here - they are the spine of the program.</t>
  </si>
  <si>
    <t>HOW THE WEEK WORKS</t>
  </si>
  <si>
    <t>Day 1 - TUESDAY (in person, with equipment): A 6-station resistance &amp; power circuit run in small groups of 4-5 athletes. Same station layout all year; only the DOSE (load, reps, tempo, plyo height, rest) changes by training phase.</t>
  </si>
  <si>
    <t>Day 2 - AT HOME (calisthenics, no equipment): A mirror of the six movement categories using bodyweight only. Reinforces both-side symmetry and keeps frequency at 2x/week with zero gear.</t>
  </si>
  <si>
    <t>HOW THE YEAR WORKS</t>
  </si>
  <si>
    <t>The calendar is periodized so each athlete peaks for THEIR competition window: GIRLS compete Mar-May, BOYS compete Aug-Oct. Because boys and girls share the same Tuesday session but peak ~6 months apart, the station layout stays constant and the coach applies the phase-appropriate dosing card to each athlete based on whichever phase they are in. Five phases cycle: Foundation - Strength - Power - Competition (maintain) - Transition (recover).</t>
  </si>
  <si>
    <t>WORKBOOK CONTENTS</t>
  </si>
  <si>
    <t>- Annual Calendar: month-by-month phase map for boys &amp; girls
- Session Blueprint: timing, group rotation, and the 25'x45' floor map
- 13U Day 1 / Day 2: stations + at-home work with phase dosing
- 17U Day 1 / Day 2: stations + at-home work with phase dosing
- Exercise Library: every movement with its both-sides cue and tools
- Equipment &amp; Station Map: what goes where
- Symmetry Testing: quarterly L/R screen to catch imbalance early</t>
  </si>
  <si>
    <t>SAFETY NOTE</t>
  </si>
  <si>
    <t>Loads and plyometric heights listed are starting guidelines for healthy youth athletes. Progress only when technique is clean on both sides. 13U emphasizes movement skill and control; 17U adds genuine strength and power. This is a coaching tool, not medical advice - clear athletes with a qualified professional and supervise all sessions.</t>
  </si>
  <si>
    <t>ANNUAL PERIODIZATION CALENDAR</t>
  </si>
  <si>
    <t>Same station layout year-round - only the dosing changes. Boys peak Aug-Oct, Girls peak Mar-May.</t>
  </si>
  <si>
    <t>TRACK /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</si>
  <si>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</si>
  <si>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</si>
  <si>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</si>
  <si>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</si>
  <si>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</si>
  <si>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</si>
  <si>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</si>
  <si>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</si>
  <si>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</si>
  <si>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</si>
  <si>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</si>
  <si>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</si>
  <si>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GIRLS  (compete Mar-May)</t>
  </si>
  <si>
    <t>PWR</t>
  </si>
  <si>
    <t>COMP</t>
  </si>
  <si>
    <t>TRANS</t>
  </si>
  <si>
    <t>FND</t>
  </si>
  <si>
    <t>STR</t>
  </si>
  <si>
    <t>BOYS  (compete Aug-Oct)</t>
  </si>
  <si>
    <t>PHASE</t>
  </si>
  <si>
    <t>FOCUS</t>
  </si>
  <si>
    <t>PRIMARY ADAPTATION</t>
  </si>
  <si>
    <t>FND - Foundation</t>
  </si>
  <si>
    <t>Movement competency, joint control, hypertrophy base, balance &amp; tempo</t>
  </si>
  <si>
    <t>Build a clean, symmetrical movement base; tendon &amp; tissue capacity</t>
  </si>
  <si>
    <t>STR - Strength</t>
  </si>
  <si>
    <t>Heavier resistance, lower reps, controlled tempo, both sides loaded equally</t>
  </si>
  <si>
    <t>Maximal strength and structural balance left vs right</t>
  </si>
  <si>
    <t>PWR - Power</t>
  </si>
  <si>
    <t>Explosive intent, med-ball throws, jumps &amp; bounds - both directions</t>
  </si>
  <si>
    <t>Rate of force development, rotational power, club-head speed transfer</t>
  </si>
  <si>
    <t>COMP - Competition</t>
  </si>
  <si>
    <t>Reduced volume, maintain power, prioritize mobility, balance &amp; recovery</t>
  </si>
  <si>
    <t>Stay fresh &amp; symmetrical through the competitive season</t>
  </si>
  <si>
    <t>TRANS - Transition</t>
  </si>
  <si>
    <t>Active recovery, games, mobility, full bilateral symmetry reset</t>
  </si>
  <si>
    <t>Recover, decompress, re-balance before the next build</t>
  </si>
  <si>
    <t>Reading the calendar: In months where boys and girls are in different phases (most of the year), they still train the SAME six stations together - the coach simply applies each athlete's phase dosing card (see the Day 1 tabs). This lets one session serve a mixed group while still peaking each sex for its own season.</t>
  </si>
  <si>
    <t>SESSION BLUEPRINT &amp; FLOOR MAP</t>
  </si>
  <si>
    <t>Day 1 circuit logistics for up to 25 athletes in a 25' x 45' space</t>
  </si>
  <si>
    <t>DAY 1 (TUESDAY) - 60 MINUTE FLOW</t>
  </si>
  <si>
    <t>FLOOR MAP - 25' wide x 45' long</t>
  </si>
  <si>
    <t>Block</t>
  </si>
  <si>
    <t>Time</t>
  </si>
  <si>
    <t>What happens</t>
  </si>
  <si>
    <t>WARM-UP / LADDER STRIP</t>
  </si>
  <si>
    <t>Arrival / Prep</t>
  </si>
  <si>
    <t>0-5 min</t>
  </si>
  <si>
    <t>Athletes claim a group (4-5). Coach calls the day's phase dosing per athlete.</t>
  </si>
  <si>
    <t>ST 1 Lower
(squat/hinge)</t>
  </si>
  <si>
    <t>ST 2 Upper
(press/row)</t>
  </si>
  <si>
    <t>ST 3 Rotation
(MB to wall)</t>
  </si>
  <si>
    <t>Dynamic Warm-up</t>
  </si>
  <si>
    <t>5-15 min</t>
  </si>
  <si>
    <t>Together, using agility ladder + hurdles. Both-direction skips, shuffles, carioca (equal each way), leg swings &amp; trunk rotations both sides, glute/scap activation.</t>
  </si>
  <si>
    <t>ST 6 Balance
(discs/bands)</t>
  </si>
  <si>
    <t>ST 5 Plyo
(boxes/hurdles)</t>
  </si>
  <si>
    <t>ST 4 Anti-Rot
(carries/Pallof)</t>
  </si>
  <si>
    <t>Station Circuit - Round 1</t>
  </si>
  <si>
    <t>15-39 min</t>
  </si>
  <si>
    <t>6 stations x ~4 min work + 1 min rotate. Groups rotate clockwise. EVERY single-side move = equal reps both sides.</t>
  </si>
  <si>
    <t>COOL-DOWN / STRETCH ZONE</t>
  </si>
  <si>
    <t>Station Circuit - Round 2</t>
  </si>
  <si>
    <t>39-55 min</t>
  </si>
  <si>
    <t>Second pass through priority stations (Power, Rotation, Balance repeat in-season; Strength repeats off-season).</t>
  </si>
  <si>
    <t>Cool-down / Symmetry</t>
  </si>
  <si>
    <t>55-60 min</t>
  </si>
  <si>
    <t>Nasal breathing, both-side stretch holds (hips, t-spine, shoulders), 30s single-leg balance each leg to finish.</t>
  </si>
  <si>
    <t>Place the throwing/rotation station (3) against the long wall. Keep plyo (5) with clear landing space. Discs &amp; bands (6) need the least room. Rotate groups clockwise.</t>
  </si>
  <si>
    <t>THE 6 STATIONS (constant all year)</t>
  </si>
  <si>
    <t>GROUPING: 25 athletes / 5 = five groups of 5 (one station rests/mobility each rotation), OR run six groups of 4-5 with all stations live. Keep each group 4-5 so every athlete gets a tool.</t>
  </si>
  <si>
    <t>#</t>
  </si>
  <si>
    <t>Station</t>
  </si>
  <si>
    <t>Symmetry job</t>
  </si>
  <si>
    <t>1</t>
  </si>
  <si>
    <t>Lower - Squat &amp; Single-Leg</t>
  </si>
  <si>
    <t>Bilateral squat/hinge + single-leg work driven equally on BOTH legs</t>
  </si>
  <si>
    <t>2</t>
  </si>
  <si>
    <t>Upper - Push &amp; Pull</t>
  </si>
  <si>
    <t>Single-arm press &amp; row matched rep-for-rep on BOTH arms</t>
  </si>
  <si>
    <t>3</t>
  </si>
  <si>
    <t>Rotational Power</t>
  </si>
  <si>
    <t>Med-ball throws &amp; chops to BOTH directions - the anti-golf-imbalance station</t>
  </si>
  <si>
    <t>4</t>
  </si>
  <si>
    <t>Anti-Rotation / Core</t>
  </si>
  <si>
    <t>Pallof, carries &amp; side planks resisting rotation on BOTH sides</t>
  </si>
  <si>
    <t>5</t>
  </si>
  <si>
    <t>Plyometrics &amp; Lateral</t>
  </si>
  <si>
    <t>Jumps, lateral bounds &amp; landings trained in BOTH directions / BOTH legs</t>
  </si>
  <si>
    <t>6</t>
  </si>
  <si>
    <t>Balance &amp; Ankle</t>
  </si>
  <si>
    <t>Single-leg stability on discs + ankle bands - BOTH legs, all planes</t>
  </si>
  <si>
    <t>13U - DAY 1 (TUESDAY) RESISTANCE CIRCUIT</t>
  </si>
  <si>
    <t>Run the same 6 stations year-round. Apply the phase dosing card below. ALL single-side moves = EQUAL reps both sides.</t>
  </si>
  <si>
    <t>Exercises (both sides equal)</t>
  </si>
  <si>
    <t>Tools</t>
  </si>
  <si>
    <t>Symmetry coaching cue</t>
  </si>
  <si>
    <t>Goblet squat; then rear-foot/split squat &amp; single-leg RDL - equal reps L &amp; R</t>
  </si>
  <si>
    <t>KB / dumbbell / med ball; balance disc under rear foot</t>
  </si>
  <si>
    <t>Match depth &amp; rep count on each leg; the weaker leg sets the number</t>
  </si>
  <si>
    <t>DB floor or incline press; single-arm row each arm; band pull-aparts</t>
  </si>
  <si>
    <t>Dumbbells, plyo band</t>
  </si>
  <si>
    <t>Same reps &amp; load each arm; squeeze shoulder blades, ribs down</t>
  </si>
  <si>
    <t>Med-ball rotational wall throw + band woodchop high &amp; low - equal throws BOTH directions</t>
  </si>
  <si>
    <t>Med balls, plyo band, wall</t>
  </si>
  <si>
    <t>Throw the SAME number to your non-golf side; rotate from hips not arms</t>
  </si>
  <si>
    <t>Half-kneeling Pallof press; suitcase carry; side plank - BOTH sides</t>
  </si>
  <si>
    <t>Plyo band, dumbbell/KB</t>
  </si>
  <si>
    <t>Resist the twist; identical hold time and reps each side</t>
  </si>
  <si>
    <t>Box step-up/jump; lateral bound &amp; stick; single-leg landings - both legs/both ways</t>
  </si>
  <si>
    <t>Plyo boxes, agility hurdles</t>
  </si>
  <si>
    <t>Stick the landing softly; bound and land equally to left and right</t>
  </si>
  <si>
    <t>Single-leg balance on disc; ankle-band walks (fwd/back/side); lateral ladder</t>
  </si>
  <si>
    <t>Balance discs, ankle bands, ladder</t>
  </si>
  <si>
    <t>Equal balance time each leg; steady hips, eyes forward</t>
  </si>
  <si>
    <t>PHASE DOSING CARD - 13U  (apply per athlete based on their phase from the Annual Calendar)</t>
  </si>
  <si>
    <t>Phase</t>
  </si>
  <si>
    <t>Sets</t>
  </si>
  <si>
    <t>Reps (each side)</t>
  </si>
  <si>
    <t>Tempo / Intent</t>
  </si>
  <si>
    <t>Load guide</t>
  </si>
  <si>
    <t>Plyo box / RPE</t>
  </si>
  <si>
    <t>10-12</t>
  </si>
  <si>
    <t>3-1-1 controlled, perfect form</t>
  </si>
  <si>
    <t>5# DB / 5-6# MB / 10# KB</t>
  </si>
  <si>
    <t>Box 12" - RPE 5-6</t>
  </si>
  <si>
    <t>2-3</t>
  </si>
  <si>
    <t>8-10</t>
  </si>
  <si>
    <t>2-0-1 controlled</t>
  </si>
  <si>
    <t>10# DB / 8# MB / 10-20# KB</t>
  </si>
  <si>
    <t>Box 12-18" - RPE 6-7</t>
  </si>
  <si>
    <t>5-6</t>
  </si>
  <si>
    <t>Explosive intent, full recovery</t>
  </si>
  <si>
    <t>5-10# DB / 6# MB (fast)</t>
  </si>
  <si>
    <t>Box 12-18" - RPE 6-7 (quality)</t>
  </si>
  <si>
    <t>6-8</t>
  </si>
  <si>
    <t>Crisp, low fatigue</t>
  </si>
  <si>
    <t>light-mod, maintain</t>
  </si>
  <si>
    <t>1-2</t>
  </si>
  <si>
    <t>8-10 easy</t>
  </si>
  <si>
    <t>Relaxed, play &amp; mobility</t>
  </si>
  <si>
    <t>bodyweight-light</t>
  </si>
  <si>
    <t>Low box - RPE 4-5</t>
  </si>
  <si>
    <t>13U PRIORITY = movement skill, control, and bilateral balance over load. Never chase weight before clean technique on BOTH sides. Keep MB throws light and fast; plyos low and soft. Two rounds of the circuit; in-season repeat Stations 3, 5, 6.</t>
  </si>
  <si>
    <t>17U - DAY 1 (TUESDAY) RESISTANCE CIRCUIT</t>
  </si>
  <si>
    <t>PHASE DOSING CARD - 17U  (apply per athlete based on their phase from the Annual Calendar)</t>
  </si>
  <si>
    <t>3-1-1 controlled</t>
  </si>
  <si>
    <t>10-15# DB / 8-10# MB / 20# KB</t>
  </si>
  <si>
    <t>Box 18" - RPE 6-7</t>
  </si>
  <si>
    <t>3-4</t>
  </si>
  <si>
    <t>5-8</t>
  </si>
  <si>
    <t>2-0-1, heavier</t>
  </si>
  <si>
    <t>15# DB / 20# KB / 10-15# MB</t>
  </si>
  <si>
    <t>Box 18-24" - RPE 7-8</t>
  </si>
  <si>
    <t>3-5</t>
  </si>
  <si>
    <t>Max explosive intent, full rest</t>
  </si>
  <si>
    <t>6-10# MB fast / 10-15# DB / 20# KB swing</t>
  </si>
  <si>
    <t>Box 24-30" - RPE 7-8 (quality)</t>
  </si>
  <si>
    <t>4-6</t>
  </si>
  <si>
    <t>Fast but fresh, low volume</t>
  </si>
  <si>
    <t>moderate, maintain power</t>
  </si>
  <si>
    <t>Box 18-24" - RPE 6</t>
  </si>
  <si>
    <t>Active recovery &amp; mobility</t>
  </si>
  <si>
    <t>light</t>
  </si>
  <si>
    <t>17U can build real strength and power. Use contrast in PWR (heavy squat/swing paired with a jump or throw). Still NON-negotiable: equal reps and equal load both sides, the weaker side sets the dose. Two rounds; off-season repeats Strength, in-season repeats Power/Rotation/Balance.</t>
  </si>
  <si>
    <t>13U - DAY 2 (AT HOME) CALISTHENICS</t>
  </si>
  <si>
    <t>No equipment. Mirrors the six movement categories. EVERY single-side move = EQUAL reps both sides.</t>
  </si>
  <si>
    <t>Category</t>
  </si>
  <si>
    <t>Bodyweight exercises (both sides equal)</t>
  </si>
  <si>
    <t>Symmetry cue</t>
  </si>
  <si>
    <t>Scaling</t>
  </si>
  <si>
    <t>Lower - Squat/Lunge</t>
  </si>
  <si>
    <t>Bodyweight squats; reverse lunges each leg; single-leg glute bridge each leg</t>
  </si>
  <si>
    <t>Equal reps &amp; depth each leg</t>
  </si>
  <si>
    <t>Easier: box squats / split stance. Harder: tempo or pause</t>
  </si>
  <si>
    <t>Upper - Push/Pull</t>
  </si>
  <si>
    <t>Push-ups; prone Superman pulls; doorway/table inverted rows each arm</t>
  </si>
  <si>
    <t>Same reps each arm; full range</t>
  </si>
  <si>
    <t>Easier: incline or knee push-ups. Harder: feet elevated / slow</t>
  </si>
  <si>
    <t>Rotational</t>
  </si>
  <si>
    <t>Standing trunk rotations both ways; rotational mountain climbers; bicycle crunch</t>
  </si>
  <si>
    <t>Equal rotations to each side</t>
  </si>
  <si>
    <t>Easier: slow &amp; controlled. Harder: add reach/speed</t>
  </si>
  <si>
    <t>Front plank; side plank each side; bird-dog each side; dead bug</t>
  </si>
  <si>
    <t>Match hold time / reps both sides</t>
  </si>
  <si>
    <t>Easier: knees down / shorter holds. Harder: longer holds</t>
  </si>
  <si>
    <t>Plyo / Landing</t>
  </si>
  <si>
    <t>Pogo hops; split-squat jumps (switch lead); lateral skater hops both directions</t>
  </si>
  <si>
    <t>Land softly; equal jumps each side/direction</t>
  </si>
  <si>
    <t>Easier: step-downs, no jump. Harder: more height / distance</t>
  </si>
  <si>
    <t>Balance</t>
  </si>
  <si>
    <t>Single-leg stance each leg (eyes open then closed); single-leg toe reaches; calf raises</t>
  </si>
  <si>
    <t>Equal balance time each leg</t>
  </si>
  <si>
    <t>Easier: hold support. Harder: eyes closed / on cushion</t>
  </si>
  <si>
    <t>PHASE DOSING - 13U (at-home)</t>
  </si>
  <si>
    <t>Format</t>
  </si>
  <si>
    <t>Reps / Holds (each side)</t>
  </si>
  <si>
    <t>Focus</t>
  </si>
  <si>
    <t>2 rounds, steady</t>
  </si>
  <si>
    <t>10-12 reps / 20-30s holds</t>
  </si>
  <si>
    <t>Clean form, equal both sides</t>
  </si>
  <si>
    <t>3 rounds, slow tempo</t>
  </si>
  <si>
    <t>8-10 reps / 30s holds</t>
  </si>
  <si>
    <t>Control &amp; range, both sides</t>
  </si>
  <si>
    <t>3 rounds, explosive</t>
  </si>
  <si>
    <t>5-6 fast reps / quality</t>
  </si>
  <si>
    <t>Speed of movement, soft landings</t>
  </si>
  <si>
    <t>2 rounds, light</t>
  </si>
  <si>
    <t>8-10 reps / 20s holds</t>
  </si>
  <si>
    <t>Stay loose, mobility, balance</t>
  </si>
  <si>
    <t>1-2 rounds, easy</t>
  </si>
  <si>
    <t>easy / play</t>
  </si>
  <si>
    <t>Recovery, fun, full-body balance</t>
  </si>
  <si>
    <t>13U at-home: keep it short (15-20 min) and fun. Quality over quantity. A parent can count reps to make sure both sides match.</t>
  </si>
  <si>
    <t>17U - DAY 2 (AT HOME) CALISTHENICS</t>
  </si>
  <si>
    <t>PHASE DOSING - 17U (at-home)</t>
  </si>
  <si>
    <t>3 rounds, steady</t>
  </si>
  <si>
    <t>12-15 reps / 30-40s holds</t>
  </si>
  <si>
    <t>Volume &amp; control, equal both sides</t>
  </si>
  <si>
    <t>3-4 rounds, slow/pause</t>
  </si>
  <si>
    <t>8-12 reps / 40-60s holds</t>
  </si>
  <si>
    <t>Tension &amp; range, both sides</t>
  </si>
  <si>
    <t>3-4 rounds, max-intent</t>
  </si>
  <si>
    <t>3-5 fast reps / quality</t>
  </si>
  <si>
    <t>Explosive speed, crisp landings</t>
  </si>
  <si>
    <t>2-3 rounds, moderate</t>
  </si>
  <si>
    <t>Maintain, prioritize mobility</t>
  </si>
  <si>
    <t>easy / mobility</t>
  </si>
  <si>
    <t>Active recovery &amp; symmetry reset</t>
  </si>
  <si>
    <t>17U at-home: 20-25 min. Add tempo, pauses, or single-leg progressions to keep it challenging without equipment. Log both-side reps to self-check symmetry.</t>
  </si>
  <si>
    <t>EXERCISE LIBRARY</t>
  </si>
  <si>
    <t>Every movement, why it belongs, and how to keep it symmetrical</t>
  </si>
  <si>
    <t>Station / Category</t>
  </si>
  <si>
    <t>Exercise</t>
  </si>
  <si>
    <t>Both-sides / symmetry note</t>
  </si>
  <si>
    <t>Coaching focus</t>
  </si>
  <si>
    <t>1 Lower</t>
  </si>
  <si>
    <t>Goblet squat</t>
  </si>
  <si>
    <t>Bilateral - baseline strength</t>
  </si>
  <si>
    <t>KB / DB / MB</t>
  </si>
  <si>
    <t>Knees track toes, chest tall</t>
  </si>
  <si>
    <t>Rear-foot elevated split squat</t>
  </si>
  <si>
    <t>Equal reps &amp; range each leg</t>
  </si>
  <si>
    <t>DB, plyo box</t>
  </si>
  <si>
    <t>Vertical shin, control descent</t>
  </si>
  <si>
    <t>Single-leg RDL</t>
  </si>
  <si>
    <t>Equal reps each leg; hardest symmetry test</t>
  </si>
  <si>
    <t>DB / KB, disc</t>
  </si>
  <si>
    <t>Hips square, slow hinge</t>
  </si>
  <si>
    <t>2 Upper</t>
  </si>
  <si>
    <t>DB floor / incline press</t>
  </si>
  <si>
    <t>Both arms together, equal load</t>
  </si>
  <si>
    <t>Dumbbells</t>
  </si>
  <si>
    <t>Ribs down, even press</t>
  </si>
  <si>
    <t>Single-arm row</t>
  </si>
  <si>
    <t>Match reps &amp; load each arm</t>
  </si>
  <si>
    <t>No torso rotation</t>
  </si>
  <si>
    <t>Band pull-apart</t>
  </si>
  <si>
    <t>Bilateral postural balance</t>
  </si>
  <si>
    <t>Plyo band</t>
  </si>
  <si>
    <t>Squeeze blades, slow return</t>
  </si>
  <si>
    <t>3 Rotation</t>
  </si>
  <si>
    <t>MB rotational wall throw</t>
  </si>
  <si>
    <t>EQUAL throws each direction</t>
  </si>
  <si>
    <t>Med balls, wall</t>
  </si>
  <si>
    <t>Drive from hips &amp; ground</t>
  </si>
  <si>
    <t>Band woodchop (high &amp; low)</t>
  </si>
  <si>
    <t>Equal reps both directions</t>
  </si>
  <si>
    <t>Brace core, rotate trunk</t>
  </si>
  <si>
    <t>4 Anti-Rot</t>
  </si>
  <si>
    <t>Half-kneeling Pallof press</t>
  </si>
  <si>
    <t>Resist rotation - both sides equal</t>
  </si>
  <si>
    <t>Stay square, no lean</t>
  </si>
  <si>
    <t>Suitcase carry</t>
  </si>
  <si>
    <t>Equal distance/time each hand</t>
  </si>
  <si>
    <t>DB / KB</t>
  </si>
  <si>
    <t>Tall, do not tip sideways</t>
  </si>
  <si>
    <t>Side plank</t>
  </si>
  <si>
    <t>Equal hold each side</t>
  </si>
  <si>
    <t>Bodyweight</t>
  </si>
  <si>
    <t>Straight line, hips high</t>
  </si>
  <si>
    <t>5 Plyo</t>
  </si>
  <si>
    <t>Box step-up / jump</t>
  </si>
  <si>
    <t>Equal reps each lead leg</t>
  </si>
  <si>
    <t>Plyo boxes</t>
  </si>
  <si>
    <t>Soft, quiet landings</t>
  </si>
  <si>
    <t>Lateral bound &amp; stick</t>
  </si>
  <si>
    <t>Equal bounds both directions</t>
  </si>
  <si>
    <t>Open floor</t>
  </si>
  <si>
    <t>Stick &amp; hold 1s</t>
  </si>
  <si>
    <t>Single-leg landing</t>
  </si>
  <si>
    <t>Equal reps each leg</t>
  </si>
  <si>
    <t>Low box</t>
  </si>
  <si>
    <t>Absorb through hip</t>
  </si>
  <si>
    <t>6 Balance</t>
  </si>
  <si>
    <t>Single-leg balance on disc</t>
  </si>
  <si>
    <t>Equal time each leg</t>
  </si>
  <si>
    <t>Balance discs</t>
  </si>
  <si>
    <t>Quiet foot, level hips</t>
  </si>
  <si>
    <t>Ankle-band walks (all planes)</t>
  </si>
  <si>
    <t>Forward/back &amp; both sides equal</t>
  </si>
  <si>
    <t>Ankle bands</t>
  </si>
  <si>
    <t>Tension on band, small steps</t>
  </si>
  <si>
    <t>Lateral ladder / hurdle steps</t>
  </si>
  <si>
    <t>Lead both feet equally</t>
  </si>
  <si>
    <t>Ladder, hurdles</t>
  </si>
  <si>
    <t>Light feet, both directions</t>
  </si>
  <si>
    <t>Warm-up</t>
  </si>
  <si>
    <t>Carioca / shuffle</t>
  </si>
  <si>
    <t>Equal reps each direction</t>
  </si>
  <si>
    <t>Open floor / ladder</t>
  </si>
  <si>
    <t>Hips open, controlled</t>
  </si>
  <si>
    <t>Leg swings &amp; trunk rotations</t>
  </si>
  <si>
    <t>Both sides equal</t>
  </si>
  <si>
    <t>Progressive range</t>
  </si>
  <si>
    <t>EQUIPMENT INVENTORY &amp; STATION ASSIGNMENT</t>
  </si>
  <si>
    <t>What you have and where it goes - sized so groups of 4-5 always have a tool</t>
  </si>
  <si>
    <t>Equipment</t>
  </si>
  <si>
    <t>Qty</t>
  </si>
  <si>
    <t>Primary station(s)</t>
  </si>
  <si>
    <t>Use</t>
  </si>
  <si>
    <t>Dumbbells 15 lb</t>
  </si>
  <si>
    <t>St 1 Lower, St 2 Upper, St 4</t>
  </si>
  <si>
    <t>Strength loading for 17U; carries</t>
  </si>
  <si>
    <t>Dumbbells 10 lb</t>
  </si>
  <si>
    <t>St 1, St 2, St 4</t>
  </si>
  <si>
    <t>Mid load both groups; rows, split squats</t>
  </si>
  <si>
    <t>Dumbbells 5 lb</t>
  </si>
  <si>
    <t>St 1, St 2</t>
  </si>
  <si>
    <t>Light/learning load for 13U; press</t>
  </si>
  <si>
    <t>20</t>
  </si>
  <si>
    <t>St 6 Balance</t>
  </si>
  <si>
    <t>Hip/ankle activation, all-plane walks (enough for a full group)</t>
  </si>
  <si>
    <t>Plyo boxes (12-30 in)</t>
  </si>
  <si>
    <t>St 5 Plyo</t>
  </si>
  <si>
    <t>Step-ups, jumps, landings; adjust height by phase/age</t>
  </si>
  <si>
    <t>Med ball 6 lb</t>
  </si>
  <si>
    <t>St 3 Rotation</t>
  </si>
  <si>
    <t>Rotational throws both directions (light/fast)</t>
  </si>
  <si>
    <t>Med ball 5 lb</t>
  </si>
  <si>
    <t>Rotational throws - 13U / younger</t>
  </si>
  <si>
    <t>Med ball 8 lb</t>
  </si>
  <si>
    <t>Rotational power - 17U</t>
  </si>
  <si>
    <t>Med ball 10 lb</t>
  </si>
  <si>
    <t>St 1 Lower / St 3</t>
  </si>
  <si>
    <t>Goblet squat load; heavier chops 17U</t>
  </si>
  <si>
    <t>Med ball 15 lb</t>
  </si>
  <si>
    <t>St 1 / St 3</t>
  </si>
  <si>
    <t>Heavy goblet / slams - 17U strength only</t>
  </si>
  <si>
    <t>Kettlebell 20 lb</t>
  </si>
  <si>
    <t>St 1 Lower</t>
  </si>
  <si>
    <t>Goblet squat, swings (17U power)</t>
  </si>
  <si>
    <t>Kettlebell 10 lb</t>
  </si>
  <si>
    <t>St 1 / St 4</t>
  </si>
  <si>
    <t>Goblet squat 13U; suitcase carry</t>
  </si>
  <si>
    <t>Mini balance discs 6 in</t>
  </si>
  <si>
    <t>8</t>
  </si>
  <si>
    <t>Single-leg stability both legs (2 per athlete in a group)</t>
  </si>
  <si>
    <t>Plyo bands Lv 1-5</t>
  </si>
  <si>
    <t>St 3 Rotation, St 4 Anti-Rot</t>
  </si>
  <si>
    <t>Woodchops, Pallof, pull-aparts - pick level by athlete</t>
  </si>
  <si>
    <t>Agility hurdles 6/9/12 in</t>
  </si>
  <si>
    <t>12</t>
  </si>
  <si>
    <t>Warm-up, St 5, St 6</t>
  </si>
  <si>
    <t>Mobility, lateral steps, low hops</t>
  </si>
  <si>
    <t>Agility ladder</t>
  </si>
  <si>
    <t>Warm-up, St 6</t>
  </si>
  <si>
    <t>Footwork both directions, coordination</t>
  </si>
  <si>
    <t>Binding constraint: only 4 of each dumbbell. Keep strength groups to 4-5 and partner-share within a station, or stagger so two athletes press while two do the bodyweight/balance pairing, then switch. Med-ball station works in pairs (thrower + feeder). This is why groups of 4-5 are ideal for a 25'x45' space.</t>
  </si>
  <si>
    <t>QUARTERLY SYMMETRY SCREEN</t>
  </si>
  <si>
    <t>Catch left/right imbalance early. Test every ~12 weeks at a phase change. Flag any side-to-side gap over 10-15%.</t>
  </si>
  <si>
    <t>Test</t>
  </si>
  <si>
    <t>What it screens</t>
  </si>
  <si>
    <t>Left</t>
  </si>
  <si>
    <t>Right</t>
  </si>
  <si>
    <t>Diff</t>
  </si>
  <si>
    <t>% Diff</t>
  </si>
  <si>
    <t>Flag</t>
  </si>
  <si>
    <t>Single-leg balance (sec, eyes closed)</t>
  </si>
  <si>
    <t>Ankle/hip stability</t>
  </si>
  <si>
    <t>Single-leg hop for distance (in)</t>
  </si>
  <si>
    <t>Lower-body power symmetry</t>
  </si>
  <si>
    <t>Rotational MB throw (ft)</t>
  </si>
  <si>
    <t>Rotational power symmetry</t>
  </si>
  <si>
    <t>Y-balance anterior reach (in)</t>
  </si>
  <si>
    <t>Mobility &amp; control</t>
  </si>
  <si>
    <t>Shoulder reach-behind gap (in)</t>
  </si>
  <si>
    <t>Upper-body mobility</t>
  </si>
  <si>
    <t>Side plank hold (sec)</t>
  </si>
  <si>
    <t>Lateral core symmetry</t>
  </si>
  <si>
    <t>Enter Left &amp; Right scores; Diff, % Diff and Flag calculate automatically. OK (&lt;10%) = balanced. WATCH (10-15%) = add extra work on the weaker side. REVIEW (&gt;15%) = bias volume to the weaker side and re-test in 4 weeks. Note: for the shoulder gap test a SMALLER number is better, so read the flag as 'difference between sides', not performance.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</si>
</sst>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b/>
      <sz val="11.0"/>
      <color rgb="FF1F3864"/>
      <name val="Arial"/>
    </font>
    <font>
      <sz val="10.0"/>
      <color rgb="FF000000"/>
      <name val="Arial"/>
    </font>
    <font>
      <b/>
      <sz val="16.0"/>
      <color rgb="FFFFFFFF"/>
      <name val="Arial"/>
    </font>
    <font>
      <i/>
      <sz val="10.0"/>
      <color rgb="FFFFFFFF"/>
      <name val="Arial"/>
    </font>
    <font>
      <b/>
      <sz val="10.0"/>
      <color rgb="FFFFFFFF"/>
      <name val="Arial"/>
    </font>
    <font>
      <b/>
      <sz val="10.0"/>
      <color rgb="FF7F6000"/>
      <name val="Arial"/>
    </font>
    <font>
      <b/>
      <sz val="10.0"/>
      <color rgb="FF9C2B2B"/>
      <name val="Arial"/>
    </font>
    <font>
      <b/>
      <sz val="10.0"/>
      <color rgb="FF595959"/>
      <name val="Arial"/>
    </font>
    <font>
      <b/>
      <sz val="10.0"/>
      <color rgb="FF375623"/>
      <name val="Arial"/>
    </font>
    <font>
      <b/>
      <sz val="10.0"/>
      <color rgb="FF2E5496"/>
      <name val="Arial"/>
    </font>
    <font>
      <b/>
      <sz val="9.0"/>
      <color rgb="FF375623"/>
      <name val="Arial"/>
    </font>
    <font>
      <sz val="9.0"/>
      <color rgb="FF000000"/>
      <name val="Arial"/>
    </font>
    <font>
      <b/>
      <sz val="9.0"/>
      <color rgb="FF2E5496"/>
      <name val="Arial"/>
    </font>
    <font>
      <b/>
      <sz val="9.0"/>
      <color rgb="FF7F6000"/>
      <name val="Arial"/>
    </font>
    <font>
      <b/>
      <sz val="9.0"/>
      <color rgb="FF9C2B2B"/>
      <name val="Arial"/>
    </font>
    <font>
      <b/>
      <sz val="9.0"/>
      <color rgb="FF595959"/>
      <name val="Arial"/>
    </font>
    <font>
      <sz val="9.0"/>
      <color rgb="FF1F3864"/>
      <name val="Arial"/>
    </font>
    <font>
      <b/>
      <sz val="11.0"/>
      <color rgb="FFFFFFFF"/>
      <name val="Arial"/>
    </font>
    <font>
      <b/>
      <sz val="9.0"/>
      <color rgb="FF000000"/>
      <name val="Arial"/>
    </font>
    <font>
      <sz val="9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D6E0F0"/>
        <bgColor rgb="FFD6E0F0"/>
      </patternFill>
    </fill>
    <fill>
      <patternFill patternType="solid">
        <fgColor rgb="FF9C2B2B"/>
        <bgColor rgb="FF9C2B2B"/>
      </patternFill>
    </fill>
    <fill>
      <patternFill patternType="solid">
        <fgColor rgb="FFFCE9C8"/>
        <bgColor rgb="FFFCE9C8"/>
      </patternFill>
    </fill>
    <fill>
      <patternFill patternType="solid">
        <fgColor rgb="FFF4CCCC"/>
        <bgColor rgb="FFF4CCCC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AF0FA"/>
        <bgColor rgb="FFEAF0FA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horizontal="left" shrinkToFit="0" vertical="top" wrapText="1"/>
    </xf>
    <xf borderId="1" fillId="2" fontId="6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4" fillId="2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8" fontId="11" numFmtId="0" xfId="0" applyAlignment="1" applyBorder="1" applyFill="1" applyFont="1">
      <alignment horizontal="center" shrinkToFit="0" vertical="center" wrapText="1"/>
    </xf>
    <xf borderId="4" fillId="9" fontId="12" numFmtId="0" xfId="0" applyAlignment="1" applyBorder="1" applyFill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9" fontId="14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4" fillId="4" fontId="16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left" shrinkToFit="0" vertical="center" wrapText="1"/>
    </xf>
    <xf borderId="4" fillId="7" fontId="18" numFmtId="0" xfId="0" applyAlignment="1" applyBorder="1" applyFont="1">
      <alignment horizontal="left" shrinkToFit="0" vertical="center" wrapText="1"/>
    </xf>
    <xf borderId="4" fillId="8" fontId="19" numFmtId="0" xfId="0" applyAlignment="1" applyBorder="1" applyFont="1">
      <alignment horizontal="left" shrinkToFit="0" vertical="center" wrapText="1"/>
    </xf>
    <xf borderId="5" fillId="10" fontId="20" numFmtId="0" xfId="0" applyAlignment="1" applyBorder="1" applyFill="1" applyFont="1">
      <alignment horizontal="left" shrinkToFit="0" vertical="center" wrapText="1"/>
    </xf>
    <xf borderId="5" fillId="2" fontId="21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5" fillId="2" fontId="21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11" fontId="22" numFmtId="0" xfId="0" applyAlignment="1" applyBorder="1" applyFill="1" applyFont="1">
      <alignment horizontal="center" shrinkToFit="0" vertical="center" wrapText="1"/>
    </xf>
    <xf borderId="4" fillId="0" fontId="22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9" fontId="22" numFmtId="0" xfId="0" applyAlignment="1" applyBorder="1" applyFont="1">
      <alignment horizontal="center" shrinkToFit="0" vertical="center" wrapText="1"/>
    </xf>
    <xf borderId="4" fillId="6" fontId="22" numFmtId="0" xfId="0" applyAlignment="1" applyBorder="1" applyFont="1">
      <alignment horizontal="center" shrinkToFit="0" vertical="center" wrapText="1"/>
    </xf>
    <xf borderId="4" fillId="8" fontId="22" numFmtId="0" xfId="0" applyAlignment="1" applyBorder="1" applyFont="1">
      <alignment horizontal="center" shrinkToFit="0" vertical="center" wrapText="1"/>
    </xf>
    <xf borderId="5" fillId="12" fontId="23" numFmtId="0" xfId="0" applyAlignment="1" applyBorder="1" applyFill="1" applyFont="1">
      <alignment horizontal="left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left" shrinkToFit="0" vertical="center" wrapText="1"/>
    </xf>
    <xf borderId="4" fillId="11" fontId="22" numFmtId="0" xfId="0" applyAlignment="1" applyBorder="1" applyFont="1">
      <alignment horizontal="left" shrinkToFit="0" vertical="center" wrapText="1"/>
    </xf>
    <xf borderId="4" fillId="13" fontId="15" numFmtId="0" xfId="0" applyAlignment="1" applyBorder="1" applyFill="1" applyFont="1">
      <alignment horizontal="center" shrinkToFit="0" vertical="center" wrapText="1"/>
    </xf>
    <xf borderId="4" fillId="0" fontId="15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5" width="26.0"/>
    <col customWidth="1" min="6" max="6" width="3.0"/>
    <col customWidth="1" min="7" max="26" width="8.71"/>
  </cols>
  <sheetData>
    <row r="2" ht="36.0" customHeight="1">
      <c r="B2" s="1" t="s">
        <v>0</v>
      </c>
      <c r="C2" s="2"/>
      <c r="D2" s="2"/>
      <c r="E2" s="3"/>
    </row>
    <row r="3" ht="24.0" customHeight="1">
      <c r="B3" s="4" t="s">
        <v>1</v>
      </c>
      <c r="C3" s="2"/>
      <c r="D3" s="2"/>
      <c r="E3" s="3"/>
    </row>
    <row r="5" ht="19.5" customHeight="1">
      <c r="B5" s="5" t="s">
        <v>2</v>
      </c>
      <c r="C5" s="2"/>
      <c r="D5" s="2"/>
      <c r="E5" s="3"/>
    </row>
    <row r="6" ht="69.75" customHeight="1">
      <c r="B6" s="6" t="s">
        <v>3</v>
      </c>
    </row>
    <row r="7" ht="19.5" customHeight="1">
      <c r="B7" s="5" t="s">
        <v>4</v>
      </c>
      <c r="C7" s="2"/>
      <c r="D7" s="2"/>
      <c r="E7" s="3"/>
    </row>
    <row r="8" ht="42.0" customHeight="1">
      <c r="B8" s="6" t="s">
        <v>5</v>
      </c>
    </row>
    <row r="9" ht="33.75" customHeight="1">
      <c r="B9" s="6" t="s">
        <v>6</v>
      </c>
    </row>
    <row r="10" ht="19.5" customHeight="1">
      <c r="B10" s="5" t="s">
        <v>7</v>
      </c>
      <c r="C10" s="2"/>
      <c r="D10" s="2"/>
      <c r="E10" s="3"/>
    </row>
    <row r="11" ht="69.75" customHeight="1">
      <c r="B11" s="6" t="s">
        <v>8</v>
      </c>
    </row>
    <row r="12" ht="19.5" customHeight="1">
      <c r="B12" s="5" t="s">
        <v>9</v>
      </c>
      <c r="C12" s="2"/>
      <c r="D12" s="2"/>
      <c r="E12" s="3"/>
    </row>
    <row r="13" ht="153.75" customHeight="1">
      <c r="B13" s="6" t="s">
        <v>10</v>
      </c>
    </row>
    <row r="14" ht="19.5" customHeight="1">
      <c r="B14" s="5" t="s">
        <v>11</v>
      </c>
      <c r="C14" s="2"/>
      <c r="D14" s="2"/>
      <c r="E14" s="3"/>
    </row>
    <row r="15" ht="55.5" customHeight="1">
      <c r="B15" s="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0:E10"/>
    <mergeCell ref="B11:E11"/>
    <mergeCell ref="B12:E12"/>
    <mergeCell ref="B13:E13"/>
    <mergeCell ref="B14:E14"/>
    <mergeCell ref="B15:E15"/>
    <mergeCell ref="B2:E2"/>
    <mergeCell ref="B3:E3"/>
    <mergeCell ref="B5:E5"/>
    <mergeCell ref="B6:E6"/>
    <mergeCell ref="B7:E7"/>
    <mergeCell ref="B8:E8"/>
    <mergeCell ref="B9:E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13" width="8.43"/>
    <col customWidth="1" min="14" max="26" width="8.71"/>
  </cols>
  <sheetData>
    <row r="1" ht="30.0" customHeight="1">
      <c r="A1" s="7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8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4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</row>
    <row r="5" ht="25.5" customHeight="1">
      <c r="A5" s="10" t="s">
        <v>28</v>
      </c>
      <c r="B5" s="11" t="s">
        <v>29</v>
      </c>
      <c r="C5" s="11" t="s">
        <v>29</v>
      </c>
      <c r="D5" s="12" t="s">
        <v>30</v>
      </c>
      <c r="E5" s="12" t="s">
        <v>30</v>
      </c>
      <c r="F5" s="12" t="s">
        <v>30</v>
      </c>
      <c r="G5" s="13" t="s">
        <v>31</v>
      </c>
      <c r="H5" s="14" t="s">
        <v>32</v>
      </c>
      <c r="I5" s="14" t="s">
        <v>32</v>
      </c>
      <c r="J5" s="15" t="s">
        <v>33</v>
      </c>
      <c r="K5" s="15" t="s">
        <v>33</v>
      </c>
      <c r="L5" s="15" t="s">
        <v>33</v>
      </c>
      <c r="M5" s="11" t="s">
        <v>29</v>
      </c>
    </row>
    <row r="6" ht="25.5" customHeight="1">
      <c r="A6" s="16" t="s">
        <v>34</v>
      </c>
      <c r="B6" s="14" t="s">
        <v>32</v>
      </c>
      <c r="C6" s="14" t="s">
        <v>32</v>
      </c>
      <c r="D6" s="15" t="s">
        <v>33</v>
      </c>
      <c r="E6" s="15" t="s">
        <v>33</v>
      </c>
      <c r="F6" s="15" t="s">
        <v>33</v>
      </c>
      <c r="G6" s="11" t="s">
        <v>29</v>
      </c>
      <c r="H6" s="11" t="s">
        <v>29</v>
      </c>
      <c r="I6" s="12" t="s">
        <v>30</v>
      </c>
      <c r="J6" s="12" t="s">
        <v>30</v>
      </c>
      <c r="K6" s="12" t="s">
        <v>30</v>
      </c>
      <c r="L6" s="13" t="s">
        <v>31</v>
      </c>
      <c r="M6" s="14" t="s">
        <v>32</v>
      </c>
    </row>
    <row r="9" ht="15.0" customHeight="1">
      <c r="A9" s="9" t="s">
        <v>35</v>
      </c>
      <c r="B9" s="17" t="s">
        <v>36</v>
      </c>
      <c r="C9" s="18"/>
      <c r="D9" s="18"/>
      <c r="E9" s="18"/>
      <c r="F9" s="19"/>
      <c r="G9" s="17" t="s">
        <v>37</v>
      </c>
      <c r="H9" s="18"/>
      <c r="I9" s="18"/>
      <c r="J9" s="18"/>
      <c r="K9" s="18"/>
      <c r="L9" s="18"/>
      <c r="M9" s="19"/>
    </row>
    <row r="10" ht="27.75" customHeight="1">
      <c r="A10" s="20" t="s">
        <v>38</v>
      </c>
      <c r="B10" s="21" t="s">
        <v>39</v>
      </c>
      <c r="C10" s="18"/>
      <c r="D10" s="18"/>
      <c r="E10" s="18"/>
      <c r="F10" s="18"/>
      <c r="G10" s="21" t="s">
        <v>40</v>
      </c>
      <c r="H10" s="18"/>
      <c r="I10" s="18"/>
      <c r="J10" s="18"/>
      <c r="K10" s="18"/>
      <c r="L10" s="18"/>
      <c r="M10" s="18"/>
    </row>
    <row r="11" ht="27.75" customHeight="1">
      <c r="A11" s="22" t="s">
        <v>41</v>
      </c>
      <c r="B11" s="21" t="s">
        <v>42</v>
      </c>
      <c r="C11" s="18"/>
      <c r="D11" s="18"/>
      <c r="E11" s="18"/>
      <c r="F11" s="18"/>
      <c r="G11" s="21" t="s">
        <v>43</v>
      </c>
      <c r="H11" s="18"/>
      <c r="I11" s="18"/>
      <c r="J11" s="18"/>
      <c r="K11" s="18"/>
      <c r="L11" s="18"/>
      <c r="M11" s="18"/>
    </row>
    <row r="12" ht="27.75" customHeight="1">
      <c r="A12" s="23" t="s">
        <v>44</v>
      </c>
      <c r="B12" s="21" t="s">
        <v>45</v>
      </c>
      <c r="C12" s="18"/>
      <c r="D12" s="18"/>
      <c r="E12" s="18"/>
      <c r="F12" s="18"/>
      <c r="G12" s="21" t="s">
        <v>46</v>
      </c>
      <c r="H12" s="18"/>
      <c r="I12" s="18"/>
      <c r="J12" s="18"/>
      <c r="K12" s="18"/>
      <c r="L12" s="18"/>
      <c r="M12" s="18"/>
    </row>
    <row r="13" ht="27.75" customHeight="1">
      <c r="A13" s="24" t="s">
        <v>47</v>
      </c>
      <c r="B13" s="21" t="s">
        <v>48</v>
      </c>
      <c r="C13" s="18"/>
      <c r="D13" s="18"/>
      <c r="E13" s="18"/>
      <c r="F13" s="18"/>
      <c r="G13" s="21" t="s">
        <v>49</v>
      </c>
      <c r="H13" s="18"/>
      <c r="I13" s="18"/>
      <c r="J13" s="18"/>
      <c r="K13" s="18"/>
      <c r="L13" s="18"/>
      <c r="M13" s="18"/>
    </row>
    <row r="14" ht="27.75" customHeight="1">
      <c r="A14" s="25" t="s">
        <v>50</v>
      </c>
      <c r="B14" s="21" t="s">
        <v>51</v>
      </c>
      <c r="C14" s="18"/>
      <c r="D14" s="18"/>
      <c r="E14" s="18"/>
      <c r="F14" s="18"/>
      <c r="G14" s="21" t="s">
        <v>52</v>
      </c>
      <c r="H14" s="18"/>
      <c r="I14" s="18"/>
      <c r="J14" s="18"/>
      <c r="K14" s="18"/>
      <c r="L14" s="18"/>
      <c r="M14" s="18"/>
    </row>
    <row r="16" ht="42.0" customHeight="1">
      <c r="A16" s="26" t="s">
        <v>53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F11"/>
    <mergeCell ref="B12:F12"/>
    <mergeCell ref="B13:F13"/>
    <mergeCell ref="B14:F14"/>
    <mergeCell ref="G12:M12"/>
    <mergeCell ref="G13:M13"/>
    <mergeCell ref="G14:M14"/>
    <mergeCell ref="A16:M16"/>
    <mergeCell ref="A1:M1"/>
    <mergeCell ref="A2:M2"/>
    <mergeCell ref="B9:F9"/>
    <mergeCell ref="G9:M9"/>
    <mergeCell ref="B10:F10"/>
    <mergeCell ref="G10:M10"/>
    <mergeCell ref="G11:M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40.0"/>
    <col customWidth="1" min="4" max="4" width="3.0"/>
    <col customWidth="1" min="5" max="7" width="20.0"/>
    <col customWidth="1" min="8" max="26" width="8.71"/>
  </cols>
  <sheetData>
    <row r="1" ht="30.0" customHeight="1">
      <c r="A1" s="7" t="s">
        <v>54</v>
      </c>
      <c r="B1" s="2"/>
      <c r="C1" s="2"/>
      <c r="D1" s="2"/>
      <c r="E1" s="2"/>
      <c r="F1" s="2"/>
      <c r="G1" s="3"/>
    </row>
    <row r="2" ht="19.5" customHeight="1">
      <c r="A2" s="8" t="s">
        <v>55</v>
      </c>
      <c r="B2" s="2"/>
      <c r="C2" s="2"/>
      <c r="D2" s="2"/>
      <c r="E2" s="2"/>
      <c r="F2" s="2"/>
      <c r="G2" s="3"/>
    </row>
    <row r="4" ht="15.0" customHeight="1">
      <c r="A4" s="27" t="s">
        <v>56</v>
      </c>
      <c r="B4" s="18"/>
      <c r="C4" s="28"/>
      <c r="E4" s="29" t="s">
        <v>57</v>
      </c>
      <c r="F4" s="18"/>
      <c r="G4" s="28"/>
    </row>
    <row r="5" ht="39.75" customHeight="1">
      <c r="A5" s="30" t="s">
        <v>58</v>
      </c>
      <c r="B5" s="30" t="s">
        <v>59</v>
      </c>
      <c r="C5" s="30" t="s">
        <v>60</v>
      </c>
      <c r="E5" s="31" t="s">
        <v>61</v>
      </c>
      <c r="F5" s="31" t="s">
        <v>61</v>
      </c>
      <c r="G5" s="31" t="s">
        <v>61</v>
      </c>
    </row>
    <row r="6" ht="39.75" customHeight="1">
      <c r="A6" s="32" t="s">
        <v>62</v>
      </c>
      <c r="B6" s="33" t="s">
        <v>63</v>
      </c>
      <c r="C6" s="34" t="s">
        <v>64</v>
      </c>
      <c r="E6" s="35" t="s">
        <v>65</v>
      </c>
      <c r="F6" s="35" t="s">
        <v>66</v>
      </c>
      <c r="G6" s="35" t="s">
        <v>67</v>
      </c>
    </row>
    <row r="7" ht="39.75" customHeight="1">
      <c r="A7" s="32" t="s">
        <v>68</v>
      </c>
      <c r="B7" s="33" t="s">
        <v>69</v>
      </c>
      <c r="C7" s="34" t="s">
        <v>70</v>
      </c>
      <c r="E7" s="36" t="s">
        <v>71</v>
      </c>
      <c r="F7" s="36" t="s">
        <v>72</v>
      </c>
      <c r="G7" s="36" t="s">
        <v>73</v>
      </c>
    </row>
    <row r="8" ht="39.75" customHeight="1">
      <c r="A8" s="32" t="s">
        <v>74</v>
      </c>
      <c r="B8" s="33" t="s">
        <v>75</v>
      </c>
      <c r="C8" s="34" t="s">
        <v>76</v>
      </c>
      <c r="E8" s="37" t="s">
        <v>77</v>
      </c>
      <c r="F8" s="37" t="s">
        <v>77</v>
      </c>
      <c r="G8" s="37" t="s">
        <v>77</v>
      </c>
    </row>
    <row r="9" ht="43.5" customHeight="1">
      <c r="A9" s="32" t="s">
        <v>78</v>
      </c>
      <c r="B9" s="33" t="s">
        <v>79</v>
      </c>
      <c r="C9" s="34" t="s">
        <v>80</v>
      </c>
    </row>
    <row r="10" ht="54.0" customHeight="1">
      <c r="A10" s="32" t="s">
        <v>81</v>
      </c>
      <c r="B10" s="33" t="s">
        <v>82</v>
      </c>
      <c r="C10" s="34" t="s">
        <v>83</v>
      </c>
      <c r="E10" s="26" t="s">
        <v>84</v>
      </c>
      <c r="F10" s="18"/>
      <c r="G10" s="19"/>
    </row>
    <row r="12" ht="54.0" customHeight="1">
      <c r="A12" s="27" t="s">
        <v>85</v>
      </c>
      <c r="B12" s="18"/>
      <c r="C12" s="28"/>
      <c r="E12" s="38" t="s">
        <v>86</v>
      </c>
      <c r="F12" s="18"/>
      <c r="G12" s="19"/>
    </row>
    <row r="13">
      <c r="A13" s="30" t="s">
        <v>87</v>
      </c>
      <c r="B13" s="30" t="s">
        <v>88</v>
      </c>
      <c r="C13" s="30" t="s">
        <v>89</v>
      </c>
    </row>
    <row r="14" ht="30.0" customHeight="1">
      <c r="A14" s="39" t="s">
        <v>90</v>
      </c>
      <c r="B14" s="32" t="s">
        <v>91</v>
      </c>
      <c r="C14" s="34" t="s">
        <v>92</v>
      </c>
    </row>
    <row r="15" ht="30.0" customHeight="1">
      <c r="A15" s="39" t="s">
        <v>93</v>
      </c>
      <c r="B15" s="32" t="s">
        <v>94</v>
      </c>
      <c r="C15" s="34" t="s">
        <v>95</v>
      </c>
    </row>
    <row r="16" ht="30.0" customHeight="1">
      <c r="A16" s="39" t="s">
        <v>96</v>
      </c>
      <c r="B16" s="32" t="s">
        <v>97</v>
      </c>
      <c r="C16" s="34" t="s">
        <v>98</v>
      </c>
    </row>
    <row r="17" ht="30.0" customHeight="1">
      <c r="A17" s="39" t="s">
        <v>99</v>
      </c>
      <c r="B17" s="32" t="s">
        <v>100</v>
      </c>
      <c r="C17" s="34" t="s">
        <v>101</v>
      </c>
    </row>
    <row r="18" ht="30.0" customHeight="1">
      <c r="A18" s="39" t="s">
        <v>102</v>
      </c>
      <c r="B18" s="32" t="s">
        <v>103</v>
      </c>
      <c r="C18" s="34" t="s">
        <v>104</v>
      </c>
    </row>
    <row r="19" ht="30.0" customHeight="1">
      <c r="A19" s="39" t="s">
        <v>105</v>
      </c>
      <c r="B19" s="32" t="s">
        <v>106</v>
      </c>
      <c r="C19" s="34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C4"/>
    <mergeCell ref="E4:G4"/>
    <mergeCell ref="E10:G10"/>
    <mergeCell ref="A12:C12"/>
    <mergeCell ref="E12:G1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4.0"/>
    <col customWidth="1" min="3" max="3" width="34.0"/>
    <col customWidth="1" min="4" max="4" width="26.0"/>
    <col customWidth="1" min="5" max="5" width="22.0"/>
    <col customWidth="1" min="6" max="6" width="18.0"/>
    <col customWidth="1" min="7" max="26" width="8.71"/>
  </cols>
  <sheetData>
    <row r="1" ht="30.0" customHeight="1">
      <c r="A1" s="7" t="s">
        <v>108</v>
      </c>
      <c r="B1" s="2"/>
      <c r="C1" s="2"/>
      <c r="D1" s="2"/>
      <c r="E1" s="2"/>
      <c r="F1" s="3"/>
    </row>
    <row r="2" ht="19.5" customHeight="1">
      <c r="A2" s="8" t="s">
        <v>109</v>
      </c>
      <c r="B2" s="2"/>
      <c r="C2" s="2"/>
      <c r="D2" s="2"/>
      <c r="E2" s="2"/>
      <c r="F2" s="3"/>
    </row>
    <row r="4" ht="15.0" customHeight="1">
      <c r="A4" s="30" t="s">
        <v>87</v>
      </c>
      <c r="B4" s="30" t="s">
        <v>88</v>
      </c>
      <c r="C4" s="30" t="s">
        <v>110</v>
      </c>
      <c r="D4" s="30" t="s">
        <v>111</v>
      </c>
      <c r="E4" s="40" t="s">
        <v>112</v>
      </c>
      <c r="F4" s="28"/>
    </row>
    <row r="5" ht="55.5" customHeight="1">
      <c r="A5" s="39" t="s">
        <v>90</v>
      </c>
      <c r="B5" s="32" t="s">
        <v>91</v>
      </c>
      <c r="C5" s="34" t="s">
        <v>113</v>
      </c>
      <c r="D5" s="34" t="s">
        <v>114</v>
      </c>
      <c r="E5" s="21" t="s">
        <v>115</v>
      </c>
      <c r="F5" s="18"/>
    </row>
    <row r="6" ht="55.5" customHeight="1">
      <c r="A6" s="39" t="s">
        <v>93</v>
      </c>
      <c r="B6" s="32" t="s">
        <v>94</v>
      </c>
      <c r="C6" s="34" t="s">
        <v>116</v>
      </c>
      <c r="D6" s="34" t="s">
        <v>117</v>
      </c>
      <c r="E6" s="21" t="s">
        <v>118</v>
      </c>
      <c r="F6" s="18"/>
    </row>
    <row r="7" ht="55.5" customHeight="1">
      <c r="A7" s="39" t="s">
        <v>96</v>
      </c>
      <c r="B7" s="32" t="s">
        <v>97</v>
      </c>
      <c r="C7" s="34" t="s">
        <v>119</v>
      </c>
      <c r="D7" s="34" t="s">
        <v>120</v>
      </c>
      <c r="E7" s="21" t="s">
        <v>121</v>
      </c>
      <c r="F7" s="18"/>
    </row>
    <row r="8" ht="55.5" customHeight="1">
      <c r="A8" s="39" t="s">
        <v>99</v>
      </c>
      <c r="B8" s="32" t="s">
        <v>100</v>
      </c>
      <c r="C8" s="34" t="s">
        <v>122</v>
      </c>
      <c r="D8" s="34" t="s">
        <v>123</v>
      </c>
      <c r="E8" s="21" t="s">
        <v>124</v>
      </c>
      <c r="F8" s="18"/>
    </row>
    <row r="9" ht="55.5" customHeight="1">
      <c r="A9" s="39" t="s">
        <v>102</v>
      </c>
      <c r="B9" s="32" t="s">
        <v>103</v>
      </c>
      <c r="C9" s="34" t="s">
        <v>125</v>
      </c>
      <c r="D9" s="34" t="s">
        <v>126</v>
      </c>
      <c r="E9" s="21" t="s">
        <v>127</v>
      </c>
      <c r="F9" s="18"/>
    </row>
    <row r="10" ht="55.5" customHeight="1">
      <c r="A10" s="39" t="s">
        <v>105</v>
      </c>
      <c r="B10" s="32" t="s">
        <v>106</v>
      </c>
      <c r="C10" s="34" t="s">
        <v>128</v>
      </c>
      <c r="D10" s="34" t="s">
        <v>129</v>
      </c>
      <c r="E10" s="21" t="s">
        <v>130</v>
      </c>
      <c r="F10" s="18"/>
    </row>
    <row r="12" ht="15.0" customHeight="1">
      <c r="A12" s="41" t="s">
        <v>131</v>
      </c>
      <c r="B12" s="18"/>
      <c r="C12" s="18"/>
      <c r="D12" s="18"/>
      <c r="E12" s="18"/>
      <c r="F12" s="28"/>
    </row>
    <row r="13">
      <c r="A13" s="30" t="s">
        <v>132</v>
      </c>
      <c r="B13" s="30" t="s">
        <v>133</v>
      </c>
      <c r="C13" s="30" t="s">
        <v>134</v>
      </c>
      <c r="D13" s="30" t="s">
        <v>135</v>
      </c>
      <c r="E13" s="30" t="s">
        <v>136</v>
      </c>
      <c r="F13" s="30" t="s">
        <v>137</v>
      </c>
    </row>
    <row r="14" ht="33.75" customHeight="1">
      <c r="A14" s="20" t="s">
        <v>32</v>
      </c>
      <c r="B14" s="33" t="s">
        <v>93</v>
      </c>
      <c r="C14" s="33" t="s">
        <v>138</v>
      </c>
      <c r="D14" s="34" t="s">
        <v>139</v>
      </c>
      <c r="E14" s="34" t="s">
        <v>140</v>
      </c>
      <c r="F14" s="34" t="s">
        <v>141</v>
      </c>
    </row>
    <row r="15" ht="33.75" customHeight="1">
      <c r="A15" s="22" t="s">
        <v>33</v>
      </c>
      <c r="B15" s="33" t="s">
        <v>142</v>
      </c>
      <c r="C15" s="33" t="s">
        <v>143</v>
      </c>
      <c r="D15" s="34" t="s">
        <v>144</v>
      </c>
      <c r="E15" s="34" t="s">
        <v>145</v>
      </c>
      <c r="F15" s="34" t="s">
        <v>146</v>
      </c>
    </row>
    <row r="16" ht="33.75" customHeight="1">
      <c r="A16" s="23" t="s">
        <v>29</v>
      </c>
      <c r="B16" s="33" t="s">
        <v>96</v>
      </c>
      <c r="C16" s="33" t="s">
        <v>147</v>
      </c>
      <c r="D16" s="34" t="s">
        <v>148</v>
      </c>
      <c r="E16" s="34" t="s">
        <v>149</v>
      </c>
      <c r="F16" s="34" t="s">
        <v>150</v>
      </c>
    </row>
    <row r="17" ht="33.75" customHeight="1">
      <c r="A17" s="24" t="s">
        <v>30</v>
      </c>
      <c r="B17" s="33" t="s">
        <v>93</v>
      </c>
      <c r="C17" s="33" t="s">
        <v>151</v>
      </c>
      <c r="D17" s="34" t="s">
        <v>152</v>
      </c>
      <c r="E17" s="34" t="s">
        <v>153</v>
      </c>
      <c r="F17" s="34" t="s">
        <v>141</v>
      </c>
    </row>
    <row r="18" ht="33.75" customHeight="1">
      <c r="A18" s="25" t="s">
        <v>31</v>
      </c>
      <c r="B18" s="33" t="s">
        <v>154</v>
      </c>
      <c r="C18" s="33" t="s">
        <v>155</v>
      </c>
      <c r="D18" s="34" t="s">
        <v>156</v>
      </c>
      <c r="E18" s="34" t="s">
        <v>157</v>
      </c>
      <c r="F18" s="34" t="s">
        <v>158</v>
      </c>
    </row>
    <row r="20" ht="45.75" customHeight="1">
      <c r="A20" s="26" t="s">
        <v>159</v>
      </c>
      <c r="B20" s="18"/>
      <c r="C20" s="18"/>
      <c r="D20" s="18"/>
      <c r="E20" s="18"/>
      <c r="F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9:F9"/>
    <mergeCell ref="E10:F10"/>
    <mergeCell ref="A12:F12"/>
    <mergeCell ref="A20:F20"/>
    <mergeCell ref="A1:F1"/>
    <mergeCell ref="A2:F2"/>
    <mergeCell ref="E4:F4"/>
    <mergeCell ref="E5:F5"/>
    <mergeCell ref="E6:F6"/>
    <mergeCell ref="E7:F7"/>
    <mergeCell ref="E8:F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4.0"/>
    <col customWidth="1" min="3" max="3" width="34.0"/>
    <col customWidth="1" min="4" max="4" width="26.0"/>
    <col customWidth="1" min="5" max="5" width="22.0"/>
    <col customWidth="1" min="6" max="6" width="18.0"/>
    <col customWidth="1" min="7" max="26" width="8.71"/>
  </cols>
  <sheetData>
    <row r="1" ht="30.0" customHeight="1">
      <c r="A1" s="7" t="s">
        <v>160</v>
      </c>
      <c r="B1" s="2"/>
      <c r="C1" s="2"/>
      <c r="D1" s="2"/>
      <c r="E1" s="2"/>
      <c r="F1" s="3"/>
    </row>
    <row r="2" ht="19.5" customHeight="1">
      <c r="A2" s="8" t="s">
        <v>109</v>
      </c>
      <c r="B2" s="2"/>
      <c r="C2" s="2"/>
      <c r="D2" s="2"/>
      <c r="E2" s="2"/>
      <c r="F2" s="3"/>
    </row>
    <row r="4" ht="15.0" customHeight="1">
      <c r="A4" s="30" t="s">
        <v>87</v>
      </c>
      <c r="B4" s="30" t="s">
        <v>88</v>
      </c>
      <c r="C4" s="30" t="s">
        <v>110</v>
      </c>
      <c r="D4" s="30" t="s">
        <v>111</v>
      </c>
      <c r="E4" s="40" t="s">
        <v>112</v>
      </c>
      <c r="F4" s="28"/>
    </row>
    <row r="5" ht="55.5" customHeight="1">
      <c r="A5" s="39" t="s">
        <v>90</v>
      </c>
      <c r="B5" s="32" t="s">
        <v>91</v>
      </c>
      <c r="C5" s="34" t="s">
        <v>113</v>
      </c>
      <c r="D5" s="34" t="s">
        <v>114</v>
      </c>
      <c r="E5" s="21" t="s">
        <v>115</v>
      </c>
      <c r="F5" s="18"/>
    </row>
    <row r="6" ht="55.5" customHeight="1">
      <c r="A6" s="39" t="s">
        <v>93</v>
      </c>
      <c r="B6" s="32" t="s">
        <v>94</v>
      </c>
      <c r="C6" s="34" t="s">
        <v>116</v>
      </c>
      <c r="D6" s="34" t="s">
        <v>117</v>
      </c>
      <c r="E6" s="21" t="s">
        <v>118</v>
      </c>
      <c r="F6" s="18"/>
    </row>
    <row r="7" ht="55.5" customHeight="1">
      <c r="A7" s="39" t="s">
        <v>96</v>
      </c>
      <c r="B7" s="32" t="s">
        <v>97</v>
      </c>
      <c r="C7" s="34" t="s">
        <v>119</v>
      </c>
      <c r="D7" s="34" t="s">
        <v>120</v>
      </c>
      <c r="E7" s="21" t="s">
        <v>121</v>
      </c>
      <c r="F7" s="18"/>
    </row>
    <row r="8" ht="55.5" customHeight="1">
      <c r="A8" s="39" t="s">
        <v>99</v>
      </c>
      <c r="B8" s="32" t="s">
        <v>100</v>
      </c>
      <c r="C8" s="34" t="s">
        <v>122</v>
      </c>
      <c r="D8" s="34" t="s">
        <v>123</v>
      </c>
      <c r="E8" s="21" t="s">
        <v>124</v>
      </c>
      <c r="F8" s="18"/>
    </row>
    <row r="9" ht="55.5" customHeight="1">
      <c r="A9" s="39" t="s">
        <v>102</v>
      </c>
      <c r="B9" s="32" t="s">
        <v>103</v>
      </c>
      <c r="C9" s="34" t="s">
        <v>125</v>
      </c>
      <c r="D9" s="34" t="s">
        <v>126</v>
      </c>
      <c r="E9" s="21" t="s">
        <v>127</v>
      </c>
      <c r="F9" s="18"/>
    </row>
    <row r="10" ht="55.5" customHeight="1">
      <c r="A10" s="39" t="s">
        <v>105</v>
      </c>
      <c r="B10" s="32" t="s">
        <v>106</v>
      </c>
      <c r="C10" s="34" t="s">
        <v>128</v>
      </c>
      <c r="D10" s="34" t="s">
        <v>129</v>
      </c>
      <c r="E10" s="21" t="s">
        <v>130</v>
      </c>
      <c r="F10" s="18"/>
    </row>
    <row r="12" ht="15.0" customHeight="1">
      <c r="A12" s="41" t="s">
        <v>161</v>
      </c>
      <c r="B12" s="18"/>
      <c r="C12" s="18"/>
      <c r="D12" s="18"/>
      <c r="E12" s="18"/>
      <c r="F12" s="28"/>
    </row>
    <row r="13">
      <c r="A13" s="30" t="s">
        <v>132</v>
      </c>
      <c r="B13" s="30" t="s">
        <v>133</v>
      </c>
      <c r="C13" s="30" t="s">
        <v>134</v>
      </c>
      <c r="D13" s="30" t="s">
        <v>135</v>
      </c>
      <c r="E13" s="30" t="s">
        <v>136</v>
      </c>
      <c r="F13" s="30" t="s">
        <v>137</v>
      </c>
    </row>
    <row r="14" ht="33.75" customHeight="1">
      <c r="A14" s="20" t="s">
        <v>32</v>
      </c>
      <c r="B14" s="33" t="s">
        <v>96</v>
      </c>
      <c r="C14" s="33" t="s">
        <v>138</v>
      </c>
      <c r="D14" s="34" t="s">
        <v>162</v>
      </c>
      <c r="E14" s="34" t="s">
        <v>163</v>
      </c>
      <c r="F14" s="34" t="s">
        <v>164</v>
      </c>
    </row>
    <row r="15" ht="33.75" customHeight="1">
      <c r="A15" s="22" t="s">
        <v>33</v>
      </c>
      <c r="B15" s="33" t="s">
        <v>165</v>
      </c>
      <c r="C15" s="33" t="s">
        <v>166</v>
      </c>
      <c r="D15" s="34" t="s">
        <v>167</v>
      </c>
      <c r="E15" s="34" t="s">
        <v>168</v>
      </c>
      <c r="F15" s="34" t="s">
        <v>169</v>
      </c>
    </row>
    <row r="16" ht="33.75" customHeight="1">
      <c r="A16" s="23" t="s">
        <v>29</v>
      </c>
      <c r="B16" s="33" t="s">
        <v>165</v>
      </c>
      <c r="C16" s="33" t="s">
        <v>170</v>
      </c>
      <c r="D16" s="34" t="s">
        <v>171</v>
      </c>
      <c r="E16" s="34" t="s">
        <v>172</v>
      </c>
      <c r="F16" s="34" t="s">
        <v>173</v>
      </c>
    </row>
    <row r="17" ht="33.75" customHeight="1">
      <c r="A17" s="24" t="s">
        <v>30</v>
      </c>
      <c r="B17" s="33" t="s">
        <v>142</v>
      </c>
      <c r="C17" s="33" t="s">
        <v>174</v>
      </c>
      <c r="D17" s="34" t="s">
        <v>175</v>
      </c>
      <c r="E17" s="34" t="s">
        <v>176</v>
      </c>
      <c r="F17" s="34" t="s">
        <v>177</v>
      </c>
    </row>
    <row r="18" ht="33.75" customHeight="1">
      <c r="A18" s="25" t="s">
        <v>31</v>
      </c>
      <c r="B18" s="33" t="s">
        <v>154</v>
      </c>
      <c r="C18" s="33" t="s">
        <v>155</v>
      </c>
      <c r="D18" s="34" t="s">
        <v>178</v>
      </c>
      <c r="E18" s="34" t="s">
        <v>179</v>
      </c>
      <c r="F18" s="34" t="s">
        <v>158</v>
      </c>
    </row>
    <row r="20" ht="45.75" customHeight="1">
      <c r="A20" s="26" t="s">
        <v>180</v>
      </c>
      <c r="B20" s="18"/>
      <c r="C20" s="18"/>
      <c r="D20" s="18"/>
      <c r="E20" s="18"/>
      <c r="F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9:F9"/>
    <mergeCell ref="E10:F10"/>
    <mergeCell ref="A12:F12"/>
    <mergeCell ref="A20:F20"/>
    <mergeCell ref="A1:F1"/>
    <mergeCell ref="A2:F2"/>
    <mergeCell ref="E4:F4"/>
    <mergeCell ref="E5:F5"/>
    <mergeCell ref="E6:F6"/>
    <mergeCell ref="E7:F7"/>
    <mergeCell ref="E8:F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30.0"/>
    <col customWidth="1" min="4" max="4" width="40.0"/>
    <col customWidth="1" min="5" max="26" width="8.71"/>
  </cols>
  <sheetData>
    <row r="1" ht="30.0" customHeight="1">
      <c r="A1" s="7" t="s">
        <v>181</v>
      </c>
      <c r="B1" s="2"/>
      <c r="C1" s="2"/>
      <c r="D1" s="3"/>
    </row>
    <row r="2" ht="19.5" customHeight="1">
      <c r="A2" s="8" t="s">
        <v>182</v>
      </c>
      <c r="B2" s="2"/>
      <c r="C2" s="2"/>
      <c r="D2" s="3"/>
    </row>
    <row r="4">
      <c r="A4" s="30" t="s">
        <v>183</v>
      </c>
      <c r="B4" s="30" t="s">
        <v>184</v>
      </c>
      <c r="C4" s="30" t="s">
        <v>185</v>
      </c>
      <c r="D4" s="30" t="s">
        <v>186</v>
      </c>
    </row>
    <row r="5" ht="45.75" customHeight="1">
      <c r="A5" s="32" t="s">
        <v>187</v>
      </c>
      <c r="B5" s="34" t="s">
        <v>188</v>
      </c>
      <c r="C5" s="34" t="s">
        <v>189</v>
      </c>
      <c r="D5" s="34" t="s">
        <v>190</v>
      </c>
    </row>
    <row r="6" ht="45.75" customHeight="1">
      <c r="A6" s="32" t="s">
        <v>191</v>
      </c>
      <c r="B6" s="34" t="s">
        <v>192</v>
      </c>
      <c r="C6" s="34" t="s">
        <v>193</v>
      </c>
      <c r="D6" s="34" t="s">
        <v>194</v>
      </c>
    </row>
    <row r="7" ht="45.75" customHeight="1">
      <c r="A7" s="32" t="s">
        <v>195</v>
      </c>
      <c r="B7" s="34" t="s">
        <v>196</v>
      </c>
      <c r="C7" s="34" t="s">
        <v>197</v>
      </c>
      <c r="D7" s="34" t="s">
        <v>198</v>
      </c>
    </row>
    <row r="8" ht="45.75" customHeight="1">
      <c r="A8" s="32" t="s">
        <v>100</v>
      </c>
      <c r="B8" s="34" t="s">
        <v>199</v>
      </c>
      <c r="C8" s="34" t="s">
        <v>200</v>
      </c>
      <c r="D8" s="34" t="s">
        <v>201</v>
      </c>
    </row>
    <row r="9" ht="45.75" customHeight="1">
      <c r="A9" s="32" t="s">
        <v>202</v>
      </c>
      <c r="B9" s="34" t="s">
        <v>203</v>
      </c>
      <c r="C9" s="34" t="s">
        <v>204</v>
      </c>
      <c r="D9" s="34" t="s">
        <v>205</v>
      </c>
    </row>
    <row r="10" ht="45.75" customHeight="1">
      <c r="A10" s="32" t="s">
        <v>206</v>
      </c>
      <c r="B10" s="34" t="s">
        <v>207</v>
      </c>
      <c r="C10" s="34" t="s">
        <v>208</v>
      </c>
      <c r="D10" s="34" t="s">
        <v>209</v>
      </c>
    </row>
    <row r="12" ht="15.0" customHeight="1">
      <c r="A12" s="41" t="s">
        <v>210</v>
      </c>
      <c r="B12" s="18"/>
      <c r="C12" s="18"/>
      <c r="D12" s="28"/>
    </row>
    <row r="13">
      <c r="A13" s="30" t="s">
        <v>132</v>
      </c>
      <c r="B13" s="30" t="s">
        <v>211</v>
      </c>
      <c r="C13" s="30" t="s">
        <v>212</v>
      </c>
      <c r="D13" s="30" t="s">
        <v>213</v>
      </c>
    </row>
    <row r="14" ht="31.5" customHeight="1">
      <c r="A14" s="20" t="s">
        <v>32</v>
      </c>
      <c r="B14" s="34" t="s">
        <v>214</v>
      </c>
      <c r="C14" s="33" t="s">
        <v>215</v>
      </c>
      <c r="D14" s="34" t="s">
        <v>216</v>
      </c>
    </row>
    <row r="15" ht="31.5" customHeight="1">
      <c r="A15" s="22" t="s">
        <v>33</v>
      </c>
      <c r="B15" s="34" t="s">
        <v>217</v>
      </c>
      <c r="C15" s="33" t="s">
        <v>218</v>
      </c>
      <c r="D15" s="34" t="s">
        <v>219</v>
      </c>
    </row>
    <row r="16" ht="31.5" customHeight="1">
      <c r="A16" s="23" t="s">
        <v>29</v>
      </c>
      <c r="B16" s="34" t="s">
        <v>220</v>
      </c>
      <c r="C16" s="33" t="s">
        <v>221</v>
      </c>
      <c r="D16" s="34" t="s">
        <v>222</v>
      </c>
    </row>
    <row r="17" ht="31.5" customHeight="1">
      <c r="A17" s="24" t="s">
        <v>30</v>
      </c>
      <c r="B17" s="34" t="s">
        <v>223</v>
      </c>
      <c r="C17" s="33" t="s">
        <v>224</v>
      </c>
      <c r="D17" s="34" t="s">
        <v>225</v>
      </c>
    </row>
    <row r="18" ht="31.5" customHeight="1">
      <c r="A18" s="25" t="s">
        <v>31</v>
      </c>
      <c r="B18" s="34" t="s">
        <v>226</v>
      </c>
      <c r="C18" s="33" t="s">
        <v>227</v>
      </c>
      <c r="D18" s="34" t="s">
        <v>228</v>
      </c>
    </row>
    <row r="20" ht="42.0" customHeight="1">
      <c r="A20" s="26" t="s">
        <v>229</v>
      </c>
      <c r="B20" s="18"/>
      <c r="C20" s="18"/>
      <c r="D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12:D12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30.0"/>
    <col customWidth="1" min="4" max="4" width="40.0"/>
    <col customWidth="1" min="5" max="26" width="8.71"/>
  </cols>
  <sheetData>
    <row r="1" ht="30.0" customHeight="1">
      <c r="A1" s="7" t="s">
        <v>230</v>
      </c>
      <c r="B1" s="2"/>
      <c r="C1" s="2"/>
      <c r="D1" s="3"/>
    </row>
    <row r="2" ht="19.5" customHeight="1">
      <c r="A2" s="8" t="s">
        <v>182</v>
      </c>
      <c r="B2" s="2"/>
      <c r="C2" s="2"/>
      <c r="D2" s="3"/>
    </row>
    <row r="4">
      <c r="A4" s="30" t="s">
        <v>183</v>
      </c>
      <c r="B4" s="30" t="s">
        <v>184</v>
      </c>
      <c r="C4" s="30" t="s">
        <v>185</v>
      </c>
      <c r="D4" s="30" t="s">
        <v>186</v>
      </c>
    </row>
    <row r="5" ht="45.75" customHeight="1">
      <c r="A5" s="32" t="s">
        <v>187</v>
      </c>
      <c r="B5" s="34" t="s">
        <v>188</v>
      </c>
      <c r="C5" s="34" t="s">
        <v>189</v>
      </c>
      <c r="D5" s="34" t="s">
        <v>190</v>
      </c>
    </row>
    <row r="6" ht="45.75" customHeight="1">
      <c r="A6" s="32" t="s">
        <v>191</v>
      </c>
      <c r="B6" s="34" t="s">
        <v>192</v>
      </c>
      <c r="C6" s="34" t="s">
        <v>193</v>
      </c>
      <c r="D6" s="34" t="s">
        <v>194</v>
      </c>
    </row>
    <row r="7" ht="45.75" customHeight="1">
      <c r="A7" s="32" t="s">
        <v>195</v>
      </c>
      <c r="B7" s="34" t="s">
        <v>196</v>
      </c>
      <c r="C7" s="34" t="s">
        <v>197</v>
      </c>
      <c r="D7" s="34" t="s">
        <v>198</v>
      </c>
    </row>
    <row r="8" ht="45.75" customHeight="1">
      <c r="A8" s="32" t="s">
        <v>100</v>
      </c>
      <c r="B8" s="34" t="s">
        <v>199</v>
      </c>
      <c r="C8" s="34" t="s">
        <v>200</v>
      </c>
      <c r="D8" s="34" t="s">
        <v>201</v>
      </c>
    </row>
    <row r="9" ht="45.75" customHeight="1">
      <c r="A9" s="32" t="s">
        <v>202</v>
      </c>
      <c r="B9" s="34" t="s">
        <v>203</v>
      </c>
      <c r="C9" s="34" t="s">
        <v>204</v>
      </c>
      <c r="D9" s="34" t="s">
        <v>205</v>
      </c>
    </row>
    <row r="10" ht="45.75" customHeight="1">
      <c r="A10" s="32" t="s">
        <v>206</v>
      </c>
      <c r="B10" s="34" t="s">
        <v>207</v>
      </c>
      <c r="C10" s="34" t="s">
        <v>208</v>
      </c>
      <c r="D10" s="34" t="s">
        <v>209</v>
      </c>
    </row>
    <row r="12" ht="15.0" customHeight="1">
      <c r="A12" s="41" t="s">
        <v>231</v>
      </c>
      <c r="B12" s="18"/>
      <c r="C12" s="18"/>
      <c r="D12" s="28"/>
    </row>
    <row r="13">
      <c r="A13" s="30" t="s">
        <v>132</v>
      </c>
      <c r="B13" s="30" t="s">
        <v>211</v>
      </c>
      <c r="C13" s="30" t="s">
        <v>212</v>
      </c>
      <c r="D13" s="30" t="s">
        <v>213</v>
      </c>
    </row>
    <row r="14" ht="31.5" customHeight="1">
      <c r="A14" s="20" t="s">
        <v>32</v>
      </c>
      <c r="B14" s="34" t="s">
        <v>232</v>
      </c>
      <c r="C14" s="33" t="s">
        <v>233</v>
      </c>
      <c r="D14" s="34" t="s">
        <v>234</v>
      </c>
    </row>
    <row r="15" ht="31.5" customHeight="1">
      <c r="A15" s="22" t="s">
        <v>33</v>
      </c>
      <c r="B15" s="34" t="s">
        <v>235</v>
      </c>
      <c r="C15" s="33" t="s">
        <v>236</v>
      </c>
      <c r="D15" s="34" t="s">
        <v>237</v>
      </c>
    </row>
    <row r="16" ht="31.5" customHeight="1">
      <c r="A16" s="23" t="s">
        <v>29</v>
      </c>
      <c r="B16" s="34" t="s">
        <v>238</v>
      </c>
      <c r="C16" s="33" t="s">
        <v>239</v>
      </c>
      <c r="D16" s="34" t="s">
        <v>240</v>
      </c>
    </row>
    <row r="17" ht="31.5" customHeight="1">
      <c r="A17" s="24" t="s">
        <v>30</v>
      </c>
      <c r="B17" s="34" t="s">
        <v>241</v>
      </c>
      <c r="C17" s="33" t="s">
        <v>218</v>
      </c>
      <c r="D17" s="34" t="s">
        <v>242</v>
      </c>
    </row>
    <row r="18" ht="31.5" customHeight="1">
      <c r="A18" s="25" t="s">
        <v>31</v>
      </c>
      <c r="B18" s="34" t="s">
        <v>226</v>
      </c>
      <c r="C18" s="33" t="s">
        <v>243</v>
      </c>
      <c r="D18" s="34" t="s">
        <v>244</v>
      </c>
    </row>
    <row r="20" ht="42.0" customHeight="1">
      <c r="A20" s="26" t="s">
        <v>245</v>
      </c>
      <c r="B20" s="18"/>
      <c r="C20" s="18"/>
      <c r="D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12:D12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3" width="34.0"/>
    <col customWidth="1" min="4" max="4" width="22.0"/>
    <col customWidth="1" min="5" max="5" width="30.0"/>
    <col customWidth="1" min="6" max="26" width="8.71"/>
  </cols>
  <sheetData>
    <row r="1" ht="30.0" customHeight="1">
      <c r="A1" s="7" t="s">
        <v>246</v>
      </c>
      <c r="B1" s="2"/>
      <c r="C1" s="2"/>
      <c r="D1" s="2"/>
      <c r="E1" s="3"/>
    </row>
    <row r="2" ht="19.5" customHeight="1">
      <c r="A2" s="8" t="s">
        <v>247</v>
      </c>
      <c r="B2" s="2"/>
      <c r="C2" s="2"/>
      <c r="D2" s="2"/>
      <c r="E2" s="3"/>
    </row>
    <row r="4">
      <c r="A4" s="30" t="s">
        <v>248</v>
      </c>
      <c r="B4" s="30" t="s">
        <v>249</v>
      </c>
      <c r="C4" s="30" t="s">
        <v>250</v>
      </c>
      <c r="D4" s="30" t="s">
        <v>111</v>
      </c>
      <c r="E4" s="30" t="s">
        <v>251</v>
      </c>
    </row>
    <row r="5" ht="25.5" customHeight="1">
      <c r="A5" s="42" t="s">
        <v>252</v>
      </c>
      <c r="B5" s="32" t="s">
        <v>253</v>
      </c>
      <c r="C5" s="34" t="s">
        <v>254</v>
      </c>
      <c r="D5" s="34" t="s">
        <v>255</v>
      </c>
      <c r="E5" s="34" t="s">
        <v>256</v>
      </c>
    </row>
    <row r="6" ht="25.5" customHeight="1">
      <c r="A6" s="42" t="s">
        <v>252</v>
      </c>
      <c r="B6" s="32" t="s">
        <v>257</v>
      </c>
      <c r="C6" s="34" t="s">
        <v>258</v>
      </c>
      <c r="D6" s="34" t="s">
        <v>259</v>
      </c>
      <c r="E6" s="34" t="s">
        <v>260</v>
      </c>
    </row>
    <row r="7" ht="25.5" customHeight="1">
      <c r="A7" s="42" t="s">
        <v>252</v>
      </c>
      <c r="B7" s="32" t="s">
        <v>261</v>
      </c>
      <c r="C7" s="34" t="s">
        <v>262</v>
      </c>
      <c r="D7" s="34" t="s">
        <v>263</v>
      </c>
      <c r="E7" s="34" t="s">
        <v>264</v>
      </c>
    </row>
    <row r="8" ht="25.5" customHeight="1">
      <c r="A8" s="42" t="s">
        <v>265</v>
      </c>
      <c r="B8" s="32" t="s">
        <v>266</v>
      </c>
      <c r="C8" s="34" t="s">
        <v>267</v>
      </c>
      <c r="D8" s="34" t="s">
        <v>268</v>
      </c>
      <c r="E8" s="34" t="s">
        <v>269</v>
      </c>
    </row>
    <row r="9" ht="25.5" customHeight="1">
      <c r="A9" s="42" t="s">
        <v>265</v>
      </c>
      <c r="B9" s="32" t="s">
        <v>270</v>
      </c>
      <c r="C9" s="34" t="s">
        <v>271</v>
      </c>
      <c r="D9" s="34" t="s">
        <v>268</v>
      </c>
      <c r="E9" s="34" t="s">
        <v>272</v>
      </c>
    </row>
    <row r="10" ht="25.5" customHeight="1">
      <c r="A10" s="42" t="s">
        <v>265</v>
      </c>
      <c r="B10" s="32" t="s">
        <v>273</v>
      </c>
      <c r="C10" s="34" t="s">
        <v>274</v>
      </c>
      <c r="D10" s="34" t="s">
        <v>275</v>
      </c>
      <c r="E10" s="34" t="s">
        <v>276</v>
      </c>
    </row>
    <row r="11" ht="25.5" customHeight="1">
      <c r="A11" s="42" t="s">
        <v>277</v>
      </c>
      <c r="B11" s="32" t="s">
        <v>278</v>
      </c>
      <c r="C11" s="34" t="s">
        <v>279</v>
      </c>
      <c r="D11" s="34" t="s">
        <v>280</v>
      </c>
      <c r="E11" s="34" t="s">
        <v>281</v>
      </c>
    </row>
    <row r="12" ht="25.5" customHeight="1">
      <c r="A12" s="42" t="s">
        <v>277</v>
      </c>
      <c r="B12" s="32" t="s">
        <v>282</v>
      </c>
      <c r="C12" s="34" t="s">
        <v>283</v>
      </c>
      <c r="D12" s="34" t="s">
        <v>275</v>
      </c>
      <c r="E12" s="34" t="s">
        <v>284</v>
      </c>
    </row>
    <row r="13" ht="25.5" customHeight="1">
      <c r="A13" s="42" t="s">
        <v>285</v>
      </c>
      <c r="B13" s="32" t="s">
        <v>286</v>
      </c>
      <c r="C13" s="34" t="s">
        <v>287</v>
      </c>
      <c r="D13" s="34" t="s">
        <v>275</v>
      </c>
      <c r="E13" s="34" t="s">
        <v>288</v>
      </c>
    </row>
    <row r="14" ht="25.5" customHeight="1">
      <c r="A14" s="42" t="s">
        <v>285</v>
      </c>
      <c r="B14" s="32" t="s">
        <v>289</v>
      </c>
      <c r="C14" s="34" t="s">
        <v>290</v>
      </c>
      <c r="D14" s="34" t="s">
        <v>291</v>
      </c>
      <c r="E14" s="34" t="s">
        <v>292</v>
      </c>
    </row>
    <row r="15" ht="25.5" customHeight="1">
      <c r="A15" s="42" t="s">
        <v>285</v>
      </c>
      <c r="B15" s="32" t="s">
        <v>293</v>
      </c>
      <c r="C15" s="34" t="s">
        <v>294</v>
      </c>
      <c r="D15" s="34" t="s">
        <v>295</v>
      </c>
      <c r="E15" s="34" t="s">
        <v>296</v>
      </c>
    </row>
    <row r="16" ht="25.5" customHeight="1">
      <c r="A16" s="42" t="s">
        <v>297</v>
      </c>
      <c r="B16" s="32" t="s">
        <v>298</v>
      </c>
      <c r="C16" s="34" t="s">
        <v>299</v>
      </c>
      <c r="D16" s="34" t="s">
        <v>300</v>
      </c>
      <c r="E16" s="34" t="s">
        <v>301</v>
      </c>
    </row>
    <row r="17" ht="25.5" customHeight="1">
      <c r="A17" s="42" t="s">
        <v>297</v>
      </c>
      <c r="B17" s="32" t="s">
        <v>302</v>
      </c>
      <c r="C17" s="34" t="s">
        <v>303</v>
      </c>
      <c r="D17" s="34" t="s">
        <v>304</v>
      </c>
      <c r="E17" s="34" t="s">
        <v>305</v>
      </c>
    </row>
    <row r="18" ht="25.5" customHeight="1">
      <c r="A18" s="42" t="s">
        <v>297</v>
      </c>
      <c r="B18" s="32" t="s">
        <v>306</v>
      </c>
      <c r="C18" s="34" t="s">
        <v>307</v>
      </c>
      <c r="D18" s="34" t="s">
        <v>308</v>
      </c>
      <c r="E18" s="34" t="s">
        <v>309</v>
      </c>
    </row>
    <row r="19" ht="25.5" customHeight="1">
      <c r="A19" s="42" t="s">
        <v>310</v>
      </c>
      <c r="B19" s="32" t="s">
        <v>311</v>
      </c>
      <c r="C19" s="34" t="s">
        <v>312</v>
      </c>
      <c r="D19" s="34" t="s">
        <v>313</v>
      </c>
      <c r="E19" s="34" t="s">
        <v>314</v>
      </c>
    </row>
    <row r="20" ht="25.5" customHeight="1">
      <c r="A20" s="42" t="s">
        <v>310</v>
      </c>
      <c r="B20" s="32" t="s">
        <v>315</v>
      </c>
      <c r="C20" s="34" t="s">
        <v>316</v>
      </c>
      <c r="D20" s="34" t="s">
        <v>317</v>
      </c>
      <c r="E20" s="34" t="s">
        <v>318</v>
      </c>
    </row>
    <row r="21" ht="25.5" customHeight="1">
      <c r="A21" s="42" t="s">
        <v>310</v>
      </c>
      <c r="B21" s="32" t="s">
        <v>319</v>
      </c>
      <c r="C21" s="34" t="s">
        <v>320</v>
      </c>
      <c r="D21" s="34" t="s">
        <v>321</v>
      </c>
      <c r="E21" s="34" t="s">
        <v>322</v>
      </c>
    </row>
    <row r="22" ht="25.5" customHeight="1">
      <c r="A22" s="42" t="s">
        <v>323</v>
      </c>
      <c r="B22" s="32" t="s">
        <v>324</v>
      </c>
      <c r="C22" s="34" t="s">
        <v>325</v>
      </c>
      <c r="D22" s="34" t="s">
        <v>326</v>
      </c>
      <c r="E22" s="34" t="s">
        <v>327</v>
      </c>
    </row>
    <row r="23" ht="25.5" customHeight="1">
      <c r="A23" s="42" t="s">
        <v>323</v>
      </c>
      <c r="B23" s="32" t="s">
        <v>328</v>
      </c>
      <c r="C23" s="34" t="s">
        <v>329</v>
      </c>
      <c r="D23" s="34" t="s">
        <v>295</v>
      </c>
      <c r="E23" s="34" t="s">
        <v>330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3" width="24.0"/>
    <col customWidth="1" min="4" max="4" width="34.0"/>
    <col customWidth="1" min="5" max="26" width="8.71"/>
  </cols>
  <sheetData>
    <row r="1" ht="30.0" customHeight="1">
      <c r="A1" s="7" t="s">
        <v>331</v>
      </c>
      <c r="B1" s="2"/>
      <c r="C1" s="2"/>
      <c r="D1" s="3"/>
    </row>
    <row r="2" ht="19.5" customHeight="1">
      <c r="A2" s="8" t="s">
        <v>332</v>
      </c>
      <c r="B2" s="2"/>
      <c r="C2" s="2"/>
      <c r="D2" s="3"/>
    </row>
    <row r="4">
      <c r="A4" s="30" t="s">
        <v>333</v>
      </c>
      <c r="B4" s="30" t="s">
        <v>334</v>
      </c>
      <c r="C4" s="30" t="s">
        <v>335</v>
      </c>
      <c r="D4" s="30" t="s">
        <v>336</v>
      </c>
    </row>
    <row r="5" ht="27.75" customHeight="1">
      <c r="A5" s="32" t="s">
        <v>337</v>
      </c>
      <c r="B5" s="33" t="s">
        <v>99</v>
      </c>
      <c r="C5" s="34" t="s">
        <v>338</v>
      </c>
      <c r="D5" s="34" t="s">
        <v>339</v>
      </c>
    </row>
    <row r="6" ht="27.75" customHeight="1">
      <c r="A6" s="32" t="s">
        <v>340</v>
      </c>
      <c r="B6" s="33" t="s">
        <v>99</v>
      </c>
      <c r="C6" s="34" t="s">
        <v>341</v>
      </c>
      <c r="D6" s="34" t="s">
        <v>342</v>
      </c>
    </row>
    <row r="7" ht="27.75" customHeight="1">
      <c r="A7" s="32" t="s">
        <v>343</v>
      </c>
      <c r="B7" s="33" t="s">
        <v>99</v>
      </c>
      <c r="C7" s="34" t="s">
        <v>344</v>
      </c>
      <c r="D7" s="34" t="s">
        <v>345</v>
      </c>
    </row>
    <row r="8" ht="27.75" customHeight="1">
      <c r="A8" s="32" t="s">
        <v>317</v>
      </c>
      <c r="B8" s="33" t="s">
        <v>346</v>
      </c>
      <c r="C8" s="34" t="s">
        <v>347</v>
      </c>
      <c r="D8" s="34" t="s">
        <v>348</v>
      </c>
    </row>
    <row r="9" ht="27.75" customHeight="1">
      <c r="A9" s="32" t="s">
        <v>349</v>
      </c>
      <c r="B9" s="33" t="s">
        <v>96</v>
      </c>
      <c r="C9" s="34" t="s">
        <v>350</v>
      </c>
      <c r="D9" s="34" t="s">
        <v>351</v>
      </c>
    </row>
    <row r="10" ht="27.75" customHeight="1">
      <c r="A10" s="32" t="s">
        <v>352</v>
      </c>
      <c r="B10" s="33" t="s">
        <v>93</v>
      </c>
      <c r="C10" s="34" t="s">
        <v>353</v>
      </c>
      <c r="D10" s="34" t="s">
        <v>354</v>
      </c>
    </row>
    <row r="11" ht="27.75" customHeight="1">
      <c r="A11" s="32" t="s">
        <v>355</v>
      </c>
      <c r="B11" s="33" t="s">
        <v>90</v>
      </c>
      <c r="C11" s="34" t="s">
        <v>353</v>
      </c>
      <c r="D11" s="34" t="s">
        <v>356</v>
      </c>
    </row>
    <row r="12" ht="27.75" customHeight="1">
      <c r="A12" s="32" t="s">
        <v>357</v>
      </c>
      <c r="B12" s="33" t="s">
        <v>90</v>
      </c>
      <c r="C12" s="34" t="s">
        <v>353</v>
      </c>
      <c r="D12" s="34" t="s">
        <v>358</v>
      </c>
    </row>
    <row r="13" ht="27.75" customHeight="1">
      <c r="A13" s="32" t="s">
        <v>359</v>
      </c>
      <c r="B13" s="33" t="s">
        <v>90</v>
      </c>
      <c r="C13" s="34" t="s">
        <v>360</v>
      </c>
      <c r="D13" s="34" t="s">
        <v>361</v>
      </c>
    </row>
    <row r="14" ht="27.75" customHeight="1">
      <c r="A14" s="32" t="s">
        <v>362</v>
      </c>
      <c r="B14" s="33" t="s">
        <v>90</v>
      </c>
      <c r="C14" s="34" t="s">
        <v>363</v>
      </c>
      <c r="D14" s="34" t="s">
        <v>364</v>
      </c>
    </row>
    <row r="15" ht="27.75" customHeight="1">
      <c r="A15" s="32" t="s">
        <v>365</v>
      </c>
      <c r="B15" s="33" t="s">
        <v>90</v>
      </c>
      <c r="C15" s="34" t="s">
        <v>366</v>
      </c>
      <c r="D15" s="34" t="s">
        <v>367</v>
      </c>
    </row>
    <row r="16" ht="27.75" customHeight="1">
      <c r="A16" s="32" t="s">
        <v>368</v>
      </c>
      <c r="B16" s="33" t="s">
        <v>90</v>
      </c>
      <c r="C16" s="34" t="s">
        <v>369</v>
      </c>
      <c r="D16" s="34" t="s">
        <v>370</v>
      </c>
    </row>
    <row r="17" ht="27.75" customHeight="1">
      <c r="A17" s="32" t="s">
        <v>371</v>
      </c>
      <c r="B17" s="33" t="s">
        <v>372</v>
      </c>
      <c r="C17" s="34" t="s">
        <v>347</v>
      </c>
      <c r="D17" s="34" t="s">
        <v>373</v>
      </c>
    </row>
    <row r="18" ht="27.75" customHeight="1">
      <c r="A18" s="32" t="s">
        <v>374</v>
      </c>
      <c r="B18" s="33" t="s">
        <v>102</v>
      </c>
      <c r="C18" s="34" t="s">
        <v>375</v>
      </c>
      <c r="D18" s="34" t="s">
        <v>376</v>
      </c>
    </row>
    <row r="19" ht="27.75" customHeight="1">
      <c r="A19" s="32" t="s">
        <v>377</v>
      </c>
      <c r="B19" s="33" t="s">
        <v>378</v>
      </c>
      <c r="C19" s="34" t="s">
        <v>379</v>
      </c>
      <c r="D19" s="34" t="s">
        <v>380</v>
      </c>
    </row>
    <row r="20" ht="27.75" customHeight="1">
      <c r="A20" s="32" t="s">
        <v>381</v>
      </c>
      <c r="B20" s="33" t="s">
        <v>90</v>
      </c>
      <c r="C20" s="34" t="s">
        <v>382</v>
      </c>
      <c r="D20" s="34" t="s">
        <v>383</v>
      </c>
    </row>
    <row r="21" ht="15.75" customHeight="1"/>
    <row r="22" ht="55.5" customHeight="1">
      <c r="A22" s="26" t="s">
        <v>384</v>
      </c>
      <c r="B22" s="18"/>
      <c r="C22" s="18"/>
      <c r="D22" s="1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22:D2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5" width="12.0"/>
    <col customWidth="1" min="6" max="6" width="14.0"/>
    <col customWidth="1" min="7" max="7" width="20.0"/>
    <col customWidth="1" min="8" max="26" width="8.71"/>
  </cols>
  <sheetData>
    <row r="1" ht="30.0" customHeight="1">
      <c r="A1" s="7" t="s">
        <v>385</v>
      </c>
      <c r="B1" s="2"/>
      <c r="C1" s="2"/>
      <c r="D1" s="2"/>
      <c r="E1" s="2"/>
      <c r="F1" s="2"/>
      <c r="G1" s="3"/>
    </row>
    <row r="2" ht="19.5" customHeight="1">
      <c r="A2" s="8" t="s">
        <v>386</v>
      </c>
      <c r="B2" s="2"/>
      <c r="C2" s="2"/>
      <c r="D2" s="2"/>
      <c r="E2" s="2"/>
      <c r="F2" s="2"/>
      <c r="G2" s="3"/>
    </row>
    <row r="4">
      <c r="A4" s="30" t="s">
        <v>387</v>
      </c>
      <c r="B4" s="30" t="s">
        <v>388</v>
      </c>
      <c r="C4" s="30" t="s">
        <v>389</v>
      </c>
      <c r="D4" s="30" t="s">
        <v>390</v>
      </c>
      <c r="E4" s="30" t="s">
        <v>391</v>
      </c>
      <c r="F4" s="30" t="s">
        <v>392</v>
      </c>
      <c r="G4" s="30" t="s">
        <v>393</v>
      </c>
    </row>
    <row r="5" ht="25.5" customHeight="1">
      <c r="A5" s="32" t="s">
        <v>394</v>
      </c>
      <c r="B5" s="34" t="s">
        <v>395</v>
      </c>
      <c r="C5" s="43"/>
      <c r="D5" s="43"/>
      <c r="E5" s="33">
        <f t="shared" ref="E5:E10" si="1">ABS(C5-D5)</f>
        <v>0</v>
      </c>
      <c r="F5" s="44" t="str">
        <f t="shared" ref="F5:F10" si="2">IF(MAX(C5,D5)=0,"",ABS(C5-D5)/MAX(C5,D5))</f>
        <v/>
      </c>
      <c r="G5" s="39" t="str">
        <f t="shared" ref="G5:G10" si="3">IF(F5="","",IF(F5&gt;0.15,"REVIEW",IF(F5&gt;0.1,"WATCH","OK")))</f>
        <v/>
      </c>
    </row>
    <row r="6" ht="25.5" customHeight="1">
      <c r="A6" s="32" t="s">
        <v>396</v>
      </c>
      <c r="B6" s="34" t="s">
        <v>397</v>
      </c>
      <c r="C6" s="43"/>
      <c r="D6" s="43"/>
      <c r="E6" s="33">
        <f t="shared" si="1"/>
        <v>0</v>
      </c>
      <c r="F6" s="44" t="str">
        <f t="shared" si="2"/>
        <v/>
      </c>
      <c r="G6" s="39" t="str">
        <f t="shared" si="3"/>
        <v/>
      </c>
    </row>
    <row r="7" ht="25.5" customHeight="1">
      <c r="A7" s="32" t="s">
        <v>398</v>
      </c>
      <c r="B7" s="34" t="s">
        <v>399</v>
      </c>
      <c r="C7" s="43"/>
      <c r="D7" s="43"/>
      <c r="E7" s="33">
        <f t="shared" si="1"/>
        <v>0</v>
      </c>
      <c r="F7" s="44" t="str">
        <f t="shared" si="2"/>
        <v/>
      </c>
      <c r="G7" s="39" t="str">
        <f t="shared" si="3"/>
        <v/>
      </c>
    </row>
    <row r="8" ht="25.5" customHeight="1">
      <c r="A8" s="32" t="s">
        <v>400</v>
      </c>
      <c r="B8" s="34" t="s">
        <v>401</v>
      </c>
      <c r="C8" s="43"/>
      <c r="D8" s="43"/>
      <c r="E8" s="33">
        <f t="shared" si="1"/>
        <v>0</v>
      </c>
      <c r="F8" s="44" t="str">
        <f t="shared" si="2"/>
        <v/>
      </c>
      <c r="G8" s="39" t="str">
        <f t="shared" si="3"/>
        <v/>
      </c>
    </row>
    <row r="9" ht="25.5" customHeight="1">
      <c r="A9" s="32" t="s">
        <v>402</v>
      </c>
      <c r="B9" s="34" t="s">
        <v>403</v>
      </c>
      <c r="C9" s="43"/>
      <c r="D9" s="43"/>
      <c r="E9" s="33">
        <f t="shared" si="1"/>
        <v>0</v>
      </c>
      <c r="F9" s="44" t="str">
        <f t="shared" si="2"/>
        <v/>
      </c>
      <c r="G9" s="39" t="str">
        <f t="shared" si="3"/>
        <v/>
      </c>
    </row>
    <row r="10" ht="25.5" customHeight="1">
      <c r="A10" s="32" t="s">
        <v>404</v>
      </c>
      <c r="B10" s="34" t="s">
        <v>405</v>
      </c>
      <c r="C10" s="43"/>
      <c r="D10" s="43"/>
      <c r="E10" s="33">
        <f t="shared" si="1"/>
        <v>0</v>
      </c>
      <c r="F10" s="44" t="str">
        <f t="shared" si="2"/>
        <v/>
      </c>
      <c r="G10" s="39" t="str">
        <f t="shared" si="3"/>
        <v/>
      </c>
    </row>
    <row r="12" ht="55.5" customHeight="1">
      <c r="A12" s="26" t="s">
        <v>406</v>
      </c>
      <c r="B12" s="18"/>
      <c r="C12" s="18"/>
      <c r="D12" s="18"/>
      <c r="E12" s="18"/>
      <c r="F12" s="18"/>
      <c r="G12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12:G12"/>
  </mergeCells>
  <printOptions/>
  <pageMargins bottom="1.0" footer="0.0" header="0.0" left="0.75" right="0.75" top="1.0"/>
  <pageSetup paperSize="9" orientation="portrait"/>
  <drawing r:id="rId1"/>
</worksheet>
</file>