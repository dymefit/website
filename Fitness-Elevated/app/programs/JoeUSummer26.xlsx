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5"/>
    <sheet state="visible" name="M1D1" sheetId="2" r:id="rId6"/>
    <sheet state="visible" name="M1D2" sheetId="3" r:id="rId7"/>
    <sheet state="visible" name="M1D3" sheetId="4" r:id="rId8"/>
    <sheet state="visible" name="M1D4" sheetId="5" r:id="rId9"/>
    <sheet state="visible" name="M2D1" sheetId="6" r:id="rId10"/>
    <sheet state="visible" name="M2D2" sheetId="7" r:id="rId11"/>
    <sheet state="visible" name="M2D3" sheetId="8" r:id="rId12"/>
    <sheet state="visible" name="M2D4" sheetId="9" r:id="rId13"/>
    <sheet state="visible" name="M3D1" sheetId="10" r:id="rId14"/>
    <sheet state="visible" name="M3D2" sheetId="11" r:id="rId15"/>
    <sheet state="visible" name="M3D3" sheetId="12" r:id="rId16"/>
    <sheet state="visible" name="M3D4" sheetId="13" r:id="rId17"/>
    <sheet state="visible" name="M4D1" sheetId="14" r:id="rId18"/>
    <sheet state="visible" name="M4D2" sheetId="15" r:id="rId19"/>
    <sheet state="visible" name="M4D3" sheetId="16" r:id="rId20"/>
    <sheet state="visible" name="M4D4" sheetId="17" r:id="rId21"/>
    <sheet state="visible" name="Dashboard" sheetId="18" r:id="rId22"/>
  </sheets>
  <definedNames/>
  <calcPr/>
</workbook>
</file>

<file path=xl/sharedStrings.xml><?xml version="1.0" encoding="utf-8"?>
<sst xmlns="http://schemas.openxmlformats.org/spreadsheetml/2006/main" count="2389" uniqueCount="606">
  <si>
    <t>Progression Settings</t>
  </si>
  <si>
    <t>Progression % between matching cycles (M3 vs M1, M4 vs M2). Edit yellow cells to adjust targets.</t>
  </si>
  <si>
    <t>Category</t>
  </si>
  <si>
    <t>Min % Increase</t>
  </si>
  <si>
    <t>Max % Increase</t>
  </si>
  <si>
    <t>Mid % (used for target)</t>
  </si>
  <si>
    <t>Notes</t>
  </si>
  <si>
    <t>compound</t>
  </si>
  <si>
    <t>Hex bar DL, bench, hip thrust, weighted pull-up. Smaller jumps - heavier loads.</t>
  </si>
  <si>
    <t>accessory</t>
  </si>
  <si>
    <t>Rows, pressing variations, hinges. Moderate jumps.</t>
  </si>
  <si>
    <t>unilateral</t>
  </si>
  <si>
    <t>Split squats, step-ups, lunges. Single-leg can progress faster.</t>
  </si>
  <si>
    <t>power</t>
  </si>
  <si>
    <t>Med ball, jumps. Progress mostly by intent/speed, load 2nd.</t>
  </si>
  <si>
    <t>conditioning</t>
  </si>
  <si>
    <t>Rounds, intensity, or interval load. Manual adjustments expected.</t>
  </si>
  <si>
    <t>core</t>
  </si>
  <si>
    <t>Anti-rotation, anti-extension. Time under tension scales well.</t>
  </si>
  <si>
    <t>How to Use</t>
  </si>
  <si>
    <t>1. Each training day has its own tab (M1D1 = Month 1 Day 1, etc.).</t>
  </si>
  <si>
    <t>2. Yellow cells = your input (Actual Load, RPE, Notes).</t>
  </si>
  <si>
    <t>3. Green cells = auto-calculated targets pulled from the matching prior cycle.</t>
  </si>
  <si>
    <t>4. Month 3 days pull progression targets from Month 1 days (M1D1 -&gt; M3D1, etc.).</t>
  </si>
  <si>
    <t>5. Month 4 days pull progression targets from Month 2 days.</t>
  </si>
  <si>
    <t>6. Adjust the progression % per category above to make targets more or less aggressive.</t>
  </si>
  <si>
    <t>7. The Dashboard tab summarizes top-set actuals for key lifts across all 16 weeks.</t>
  </si>
  <si>
    <t>8. 'TargetLoad_NextCycle' shows where the next cycle's prescription will land based on what was lifted.</t>
  </si>
  <si>
    <t>Color Legend</t>
  </si>
  <si>
    <t>Yellow</t>
  </si>
  <si>
    <t>Your input (Actual Load, RPE, Notes)</t>
  </si>
  <si>
    <t>Green</t>
  </si>
  <si>
    <t>Auto-calculated (target loads, progression %)</t>
  </si>
  <si>
    <t>Grey</t>
  </si>
  <si>
    <t>Reference info (sets, reps, prescribed load text)</t>
  </si>
  <si>
    <t>Month 1 - Day 1 (Conditioning Emphasis - Full Body)</t>
  </si>
  <si>
    <t>Loading guidance: Wk1: RPE 5-6, technique loads | Wk2: +5-10%, RPE 6-7 | Wk3: +set or +5%, RPE 7 | Wk4: hold load, add reps, RPE 7-8</t>
  </si>
  <si>
    <t>WARMUP  (8-10 min)</t>
  </si>
  <si>
    <t>Block A - Activation / Mobility (3-4 min)</t>
  </si>
  <si>
    <t>Drill</t>
  </si>
  <si>
    <t>Dose</t>
  </si>
  <si>
    <t>Cue</t>
  </si>
  <si>
    <t>90/90 breathing on back, feet on bench</t>
  </si>
  <si>
    <t>5 breaths</t>
  </si>
  <si>
    <t>Full exhale, ribs down, posterior pelvic tilt</t>
  </si>
  <si>
    <t>90/90 hip switches</t>
  </si>
  <si>
    <t>6 ea side</t>
  </si>
  <si>
    <t>Hip IR/ER - golf-specific</t>
  </si>
  <si>
    <t>Open book / thoracic windmill (side-lying)</t>
  </si>
  <si>
    <t>6 ea</t>
  </si>
  <si>
    <t>T-rotation + R shoulder ER - golf critical</t>
  </si>
  <si>
    <t>Ankle rocks against wall</t>
  </si>
  <si>
    <t>8 ea</t>
  </si>
  <si>
    <t>Dorsiflexion for PFP + squat patterning</t>
  </si>
  <si>
    <t>Block B - Dynamic Sequence (5-6 min, ~15-20 yd each, continuous flow)</t>
  </si>
  <si>
    <t>Movement</t>
  </si>
  <si>
    <t>Distance</t>
  </si>
  <si>
    <t>Focus</t>
  </si>
  <si>
    <t>Jog</t>
  </si>
  <si>
    <t>20 yd down + back</t>
  </si>
  <si>
    <t>Easy aerobic primer</t>
  </si>
  <si>
    <t>Carioca</t>
  </si>
  <si>
    <t>20 yd ea direction</t>
  </si>
  <si>
    <t>Hip rotation, frontal plane</t>
  </si>
  <si>
    <t>Walking lunge w/ rotation</t>
  </si>
  <si>
    <t>8 reps</t>
  </si>
  <si>
    <t>Hip flexor + T-spine; PFP-aware depth</t>
  </si>
  <si>
    <t>Walking single-leg RDL</t>
  </si>
  <si>
    <t>6 ea leg</t>
  </si>
  <si>
    <t>Posterior chain, balance</t>
  </si>
  <si>
    <t>Straight-leg kicks</t>
  </si>
  <si>
    <t>8 ea leg</t>
  </si>
  <si>
    <t>Dynamic hamstring length</t>
  </si>
  <si>
    <t>Lateral lunges</t>
  </si>
  <si>
    <t>Adductor / frontal plane hip</t>
  </si>
  <si>
    <t>Side shuffles</t>
  </si>
  <si>
    <t>15 yd ea x 2</t>
  </si>
  <si>
    <t>Hip abductors, rotational prep</t>
  </si>
  <si>
    <t>Quick feet (ladder)</t>
  </si>
  <si>
    <t>15-20 sec x 2</t>
  </si>
  <si>
    <t>CNS prime, foot speed</t>
  </si>
  <si>
    <t>POWER PREP  (~2 min)</t>
  </si>
  <si>
    <t>Same-pattern prep (M1)   |   Pairs with: A1. Med ball rotational throw</t>
  </si>
  <si>
    <t>Prep Movement</t>
  </si>
  <si>
    <t>Cable wood chop, slow (high-to-low)</t>
  </si>
  <si>
    <t>1 x 6 ea side</t>
  </si>
  <si>
    <t>Tempo 3-1-1. Same plane, lower velocity. Primes rotation.</t>
  </si>
  <si>
    <t>MAIN WORKOUT</t>
  </si>
  <si>
    <t>Exercise</t>
  </si>
  <si>
    <t>Sets</t>
  </si>
  <si>
    <t>Reps</t>
  </si>
  <si>
    <t>Prescribed</t>
  </si>
  <si>
    <t>Wk 1</t>
  </si>
  <si>
    <t>Wk 2</t>
  </si>
  <si>
    <t>Wk 3</t>
  </si>
  <si>
    <t>Wk 4</t>
  </si>
  <si>
    <t>Next-Cycle Target</t>
  </si>
  <si>
    <t>Load (lb)</t>
  </si>
  <si>
    <t>RPE</t>
  </si>
  <si>
    <t>Min (lb)</t>
  </si>
  <si>
    <t>Max (lb)</t>
  </si>
  <si>
    <t>A1. Med ball rotational throw into wall</t>
  </si>
  <si>
    <t>3</t>
  </si>
  <si>
    <t>WT 10 lb</t>
  </si>
  <si>
    <t>Hips drive rotation, not arms. Golf-specific power primer.</t>
  </si>
  <si>
    <t>A2. Hex bar deadlift</t>
  </si>
  <si>
    <t>8</t>
  </si>
  <si>
    <t>WT 95 lb</t>
  </si>
  <si>
    <t>Hip hinge focus. Light handle, hips back, neutral spine. RPE 6-7 target - adjust if too easy/hard.</t>
  </si>
  <si>
    <t>B1. Half-kneeling barbell landmine press (alt arms)</t>
  </si>
  <si>
    <t>Barbell in landmine adapter, plates on working end. Treat bar as 0. Neutral-ish grip, diagonal press path - R shoulder friendly.</t>
  </si>
  <si>
    <t>B2. Goblet reverse lunge</t>
  </si>
  <si>
    <t>WT 26 lb KB</t>
  </si>
  <si>
    <t>Reverse - PFP friendly. Front shin near vertical. RPE 6 target.</t>
  </si>
  <si>
    <t>C. Conditioning circuit (3 rounds)</t>
  </si>
  <si>
    <t>see notes</t>
  </si>
  <si>
    <t>KB swing 35 lb</t>
  </si>
  <si>
    <t>Bike 60s mod / KB swing x12 (35 lb) / side shuffle 20yd x2 / 60s rest. Build to 4 rounds by Wk 4.</t>
  </si>
  <si>
    <t>-</t>
  </si>
  <si>
    <t>D. Pallof press, tall kneeling</t>
  </si>
  <si>
    <t>10 ea</t>
  </si>
  <si>
    <t>WT 20 lb cable</t>
  </si>
  <si>
    <t>Resist rotation, breathe out on press.</t>
  </si>
  <si>
    <t>COOL DOWN  (5 min)</t>
  </si>
  <si>
    <t>Purpose</t>
  </si>
  <si>
    <t>Nasal diaphragmatic breathing, supine</t>
  </si>
  <si>
    <t>2 min</t>
  </si>
  <si>
    <t>Down-regulate after conditioning</t>
  </si>
  <si>
    <t>Half-kneeling adductor rock-back</t>
  </si>
  <si>
    <t>8 reps ea</t>
  </si>
  <si>
    <t>Hip recovery</t>
  </si>
  <si>
    <t>Foam roll T-spine extensions</t>
  </si>
  <si>
    <t>Decompress thoracic, reset posture</t>
  </si>
  <si>
    <t>Month 1 - Day 2 (Strength Emphasis - Full Body)</t>
  </si>
  <si>
    <t>Loading guidance: Wk1: RPE 5-6 | Wk2: +5-10% | Wk3: +set/+5%, RPE 7 | Wk4: RPE 7-8, test week</t>
  </si>
  <si>
    <t>Glute bridge with 2-sec hold</t>
  </si>
  <si>
    <t>10 reps</t>
  </si>
  <si>
    <t>Glute activation, ribs down at top</t>
  </si>
  <si>
    <t>Bird dog with elbow-to-knee</t>
  </si>
  <si>
    <t>Anti-extension + anti-rotation</t>
  </si>
  <si>
    <t>No explosive movements today - skip prep, proceed to Main Workout.</t>
  </si>
  <si>
    <t>A. Hex bar deadlift</t>
  </si>
  <si>
    <t>4</t>
  </si>
  <si>
    <t>5</t>
  </si>
  <si>
    <t>WT 135 lb</t>
  </si>
  <si>
    <t>Primary strength lift. Reset every rep early on. Build to RPE 7 by Wk 4.</t>
  </si>
  <si>
    <t>B1. DB floor press (neutral grip)</t>
  </si>
  <si>
    <t>6-8</t>
  </si>
  <si>
    <t>WT 35 lb ea DB</t>
  </si>
  <si>
    <t>Floor limits ROM - protects R shoulder. Move to bench Wk3 if pain-free. RPE 7 target.</t>
  </si>
  <si>
    <t>B2. TRX row, feet forward</t>
  </si>
  <si>
    <t>10</t>
  </si>
  <si>
    <t>BW (foot angle)</t>
  </si>
  <si>
    <t>Retract scaps first, no shrug. Progress by walking feet forward.</t>
  </si>
  <si>
    <t>C1. Bulgarian split squat</t>
  </si>
  <si>
    <t>WT 25 lb ea DB</t>
  </si>
  <si>
    <t>Hip-dominant lean. Stop at pain-free depth for PFP. RPE 7 target.</t>
  </si>
  <si>
    <t>C2. 1-arm KB suitcase carry</t>
  </si>
  <si>
    <t>30 yd ea</t>
  </si>
  <si>
    <t>WT 53 lb KB</t>
  </si>
  <si>
    <t>Anti-lateral flexion. No leaning. Slow steps. Progress to 62 lb when controlled.</t>
  </si>
  <si>
    <t>D. Glute-ham iso back extension hold</t>
  </si>
  <si>
    <t>20-30 sec</t>
  </si>
  <si>
    <t>BW</t>
  </si>
  <si>
    <t>Posterior chain endurance. No hyperextension at top. Add 5-10 lb plate at chest when 30 sec is easy.</t>
  </si>
  <si>
    <t>Couch stretch</t>
  </si>
  <si>
    <t>45 sec ea side</t>
  </si>
  <si>
    <t>Hip flexor recovery after hinging + lunging</t>
  </si>
  <si>
    <t>Doorway pec stretch at 90/90</t>
  </si>
  <si>
    <t>30 sec ea</t>
  </si>
  <si>
    <t>Counter pressing posture (mindful R shoulder)</t>
  </si>
  <si>
    <t>90/90 hip stretch hold</t>
  </si>
  <si>
    <t>45 sec ea</t>
  </si>
  <si>
    <t>Hip rotation reset</t>
  </si>
  <si>
    <t>Month 1 - Day 3 (Conditioning Emphasis - Full Body)</t>
  </si>
  <si>
    <t>Loading guidance: Same progression model as Day 1</t>
  </si>
  <si>
    <t>Wall slides, palms forward</t>
  </si>
  <si>
    <t>Scap upward rotation, no forced flexion</t>
  </si>
  <si>
    <t>Mini-band monster walk (forward and back)</t>
  </si>
  <si>
    <t>10 steps</t>
  </si>
  <si>
    <t>Glute med activation</t>
  </si>
  <si>
    <t>Same-pattern prep (M1)   |   Pairs with: A1. Med ball chest pass</t>
  </si>
  <si>
    <t>Wall ball, slow tempo (10 lb)</t>
  </si>
  <si>
    <t>1 x 6</t>
  </si>
  <si>
    <t>Squat-to-press at controlled speed. Same pattern, lower output.</t>
  </si>
  <si>
    <t>A1. Med ball chest pass into wall</t>
  </si>
  <si>
    <t>Triple extension if standing; controlled if seated.</t>
  </si>
  <si>
    <t>A2. Goblet squat to box (12-20" box)</t>
  </si>
  <si>
    <t>WT 34 lb KB</t>
  </si>
  <si>
    <t>Box gives PFP-safe depth target. Hips back to box, drive through midfoot. RPE 6-7.</t>
  </si>
  <si>
    <t>B1. Standing 1-arm cable row</t>
  </si>
  <si>
    <t>WT 30 lb cable</t>
  </si>
  <si>
    <t>Anti-rotation through trunk.</t>
  </si>
  <si>
    <t>B2. Step-up to 12" box</t>
  </si>
  <si>
    <t>Drive through heel of top foot, no push-off from bottom.</t>
  </si>
  <si>
    <t>C. Cardio intervals - Lateral-X Octane</t>
  </si>
  <si>
    <t>1</t>
  </si>
  <si>
    <t>5 x 60s on/60s easy</t>
  </si>
  <si>
    <t>Mod resistance</t>
  </si>
  <si>
    <t>Frontal plane work. HR ~75-80% max if monitored. Track avg watts/resistance level.</t>
  </si>
  <si>
    <t>D. Side plank w/ top leg abduction</t>
  </si>
  <si>
    <t>8 ea side</t>
  </si>
  <si>
    <t>Anti-lateral flexion + glute med. Add 4 lb ankle wt to top leg if BW gets easy.</t>
  </si>
  <si>
    <t>HR + parasympathetic recovery</t>
  </si>
  <si>
    <t>Standing forward fold, soft knees</t>
  </si>
  <si>
    <t>45 sec</t>
  </si>
  <si>
    <t>Posterior chain decompression</t>
  </si>
  <si>
    <t>Child's pose with side reach</t>
  </si>
  <si>
    <t>Lat + T-spine</t>
  </si>
  <si>
    <t>Month 1 - Day 4 (Strength Emphasis - Full Body)</t>
  </si>
  <si>
    <t>Loading guidance: Same as Day 2</t>
  </si>
  <si>
    <t>Standing band shoulder ER at 0 deg abd</t>
  </si>
  <si>
    <t>Cuff activation - critical for R shoulder</t>
  </si>
  <si>
    <t>A. Hex bar Romanian deadlift</t>
  </si>
  <si>
    <t>6</t>
  </si>
  <si>
    <t>WT 115 lb</t>
  </si>
  <si>
    <t>Hinge variant. Soft knee, hips back. RPE 7 target.</t>
  </si>
  <si>
    <t>B1. Half-kneeling 1-arm DB press (neutral)</t>
  </si>
  <si>
    <t>6-8 ea</t>
  </si>
  <si>
    <t>WT 25 lb DB</t>
  </si>
  <si>
    <t>R shoulder gets unilateral attention. Don't force ROM. RPE 7 target. R side may need lighter than L.</t>
  </si>
  <si>
    <t>B2. Chest-supported DB row</t>
  </si>
  <si>
    <t>Bench at 30 deg. Pull elbow to hip. RPE 7 target.</t>
  </si>
  <si>
    <t>C1. KB front-rack reverse lunge</t>
  </si>
  <si>
    <t>WT 26 lb ea KB</t>
  </si>
  <si>
    <t>Posture demand on trunk. Single 34 lb KB goblet if double-rack uncomfortable.</t>
  </si>
  <si>
    <t>C2. Pallof press, half-kneeling</t>
  </si>
  <si>
    <t>5-sec hold at end range.</t>
  </si>
  <si>
    <t>D. Hollow body + dead bug ladder</t>
  </si>
  <si>
    <t>30s + 6 dead bugs</t>
  </si>
  <si>
    <t>Anti-extension. Scale to bent-knee if back aggravates.</t>
  </si>
  <si>
    <t>Hip flexor recovery</t>
  </si>
  <si>
    <t>Open book stretch hold (3 breaths each side)</t>
  </si>
  <si>
    <t>3 ea</t>
  </si>
  <si>
    <t>Final R shoulder ER + T-spine work</t>
  </si>
  <si>
    <t>Decompress</t>
  </si>
  <si>
    <t>Month 2 - Day 1 (Upper Body - Push Biased)</t>
  </si>
  <si>
    <t>Loading guidance: Wk5: RPE 7 | Wk6: +set or +5% | Wk7: RPE 8 top set, drop sets | Wk8: DELOAD -30 to -40% volume</t>
  </si>
  <si>
    <t>Antagonist/contrast prep (M2)   |   Pairs with: A. Med ball overhead slam</t>
  </si>
  <si>
    <t>Lat pulldown iso-hold</t>
  </si>
  <si>
    <t>1 x 5 reps, 5s hold ea</t>
  </si>
  <si>
    <t>Hold mid-range, release. Antagonist primes pulling pattern - explosive slam follows. PAP setup.</t>
  </si>
  <si>
    <t>Wk 5</t>
  </si>
  <si>
    <t>Wk 6</t>
  </si>
  <si>
    <t>Wk 7</t>
  </si>
  <si>
    <t>Wk 8</t>
  </si>
  <si>
    <t>A. Med ball overhead slam (controlled)</t>
  </si>
  <si>
    <t>Sub rotational scoop if shoulder flexion limits.</t>
  </si>
  <si>
    <t>B. DB floor press or bench press</t>
  </si>
  <si>
    <t>8, 8, 6, 6</t>
  </si>
  <si>
    <t>WT 45 lb ea DB</t>
  </si>
  <si>
    <t>Move to bench Wk6+ if Wk5 floor was clean. RPE 7-8 target.</t>
  </si>
  <si>
    <t>C. Standing barbell landmine press (1-arm)</t>
  </si>
  <si>
    <t>WT 25 lb</t>
  </si>
  <si>
    <t>Barbell in landmine, plates on working end. Best long-term overhead sub for R TSA. Start lighter on R side if needed.</t>
  </si>
  <si>
    <t>D1. Chest-supported DB row</t>
  </si>
  <si>
    <t>Heavy. 1-sec squeeze at top. RPE 8 target.</t>
  </si>
  <si>
    <t>D2. TRX face pull</t>
  </si>
  <si>
    <t>12</t>
  </si>
  <si>
    <t>ER + upper back. Critical for R shoulder posture.</t>
  </si>
  <si>
    <t>E1. Cable triceps push-down</t>
  </si>
  <si>
    <t>WT 40 lb cable</t>
  </si>
  <si>
    <t>E2. DB hammer curl</t>
  </si>
  <si>
    <t>Neutral grip - wrist/elbow friendly.</t>
  </si>
  <si>
    <t>F. Hanging knee raise or dead bug</t>
  </si>
  <si>
    <t>Anti-extension finisher. Add 2-4 lb ankle wt to dead bug version when easy.</t>
  </si>
  <si>
    <t>Counter pressing volume (mindful R shoulder)</t>
  </si>
  <si>
    <t>Banded shoulder distraction (light)</t>
  </si>
  <si>
    <t>Decompress R shoulder</t>
  </si>
  <si>
    <t>Posture reset</t>
  </si>
  <si>
    <t>Month 2 - Day 2 (Lower Body - Strength Biased)</t>
  </si>
  <si>
    <t>Loading guidance: Wk5: RPE 7 | Wk6: +set or +5% | Wk7: RPE 8 top set | Wk8: DELOAD</t>
  </si>
  <si>
    <t>5, 5, 3, 3, 3</t>
  </si>
  <si>
    <t>WT 165 lb top</t>
  </si>
  <si>
    <t>Heaviest pulls of the week. Build top set to RPE 7-8. First 2 sets at ~85% of top.</t>
  </si>
  <si>
    <t>B. Bulgarian split squat</t>
  </si>
  <si>
    <t>PFP-aware depth. Add heel lift if needed. RPE 8 target.</t>
  </si>
  <si>
    <t>C. Hip thrust (DB on hips, bench)</t>
  </si>
  <si>
    <t>WT 70 lb DB</t>
  </si>
  <si>
    <t>Pause 1 sec at top. Ribs down at lockout. RPE 8 target. Use heaviest single DB (up to 125 lb).</t>
  </si>
  <si>
    <t>D. Glute-ham Nordic eccentric (assisted)</t>
  </si>
  <si>
    <t>4-5</t>
  </si>
  <si>
    <t>Catch with hands, push back up. Slowest descent possible - progress by descent tempo, not load.</t>
  </si>
  <si>
    <t>E. Single-leg calf raise off step</t>
  </si>
  <si>
    <t>15 ea</t>
  </si>
  <si>
    <t>Tib post + PFP support.</t>
  </si>
  <si>
    <t>F. Standing Pallof hold + rotation tap</t>
  </si>
  <si>
    <t>Trunk anti-rotation under fatigue.</t>
  </si>
  <si>
    <t>Heavy hinge + split squat hip flexor decomp</t>
  </si>
  <si>
    <t>90/90 hip stretch</t>
  </si>
  <si>
    <t>Hip rotation</t>
  </si>
  <si>
    <t>Posterior chain</t>
  </si>
  <si>
    <t>Month 2 - Day 3 (Upper Body - Pull Biased)</t>
  </si>
  <si>
    <t>Loading guidance: Same as Day 1</t>
  </si>
  <si>
    <t>Scapular push-up</t>
  </si>
  <si>
    <t>Protraction/retraction without elbow bend</t>
  </si>
  <si>
    <t>A. Pull-up (band assist) or neutral-grip pulldown</t>
  </si>
  <si>
    <t>WT 90 lb pulldown</t>
  </si>
  <si>
    <t>Neutral grip best for R shoulder. RPE 7 target. If pull-up: track band thickness/reps unassisted.</t>
  </si>
  <si>
    <t>B. 1-arm DB row, bench-supported</t>
  </si>
  <si>
    <t>WT 55 lb DB</t>
  </si>
  <si>
    <t>Heavy. Pull to hip. RPE 8 target.</t>
  </si>
  <si>
    <t>C. Landmine row or seated cable row</t>
  </si>
  <si>
    <t>WT 60 lb cable</t>
  </si>
  <si>
    <t>Barbell in landmine for row, or seated cable. Either works.</t>
  </si>
  <si>
    <t>D1. Incline DB press (~20 deg, neutral)</t>
  </si>
  <si>
    <t>Low incline protects R shoulder. RPE 7 target.</t>
  </si>
  <si>
    <t>D2. TRX Y raise (scap-driven)</t>
  </si>
  <si>
    <t>Lower traps. Tiny range first if shoulder flexion limits.</t>
  </si>
  <si>
    <t>E1. Cable face pull + ER</t>
  </si>
  <si>
    <t>Cuff + rear delt - non-negotiable.</t>
  </si>
  <si>
    <t>E2. DB incline curl</t>
  </si>
  <si>
    <t>WT 20 lb ea DB</t>
  </si>
  <si>
    <t>F. Side plank + reach-through</t>
  </si>
  <si>
    <t>Anti-lateral flex + T-rotation.</t>
  </si>
  <si>
    <t>Lat stretch after pull volume</t>
  </si>
  <si>
    <t>Doorway pec stretch (low angle)</t>
  </si>
  <si>
    <t>Anterior shoulder open</t>
  </si>
  <si>
    <t>Banded lat stretch (gripping rack)</t>
  </si>
  <si>
    <t>30 sec ea side</t>
  </si>
  <si>
    <t>Lat + posterior shoulder</t>
  </si>
  <si>
    <t>Month 2 - Day 4 (Lower Body + Conditioning)</t>
  </si>
  <si>
    <t>Volume hinge. Pause 1 sec at the knee on descent. RPE 7 target.</t>
  </si>
  <si>
    <t>B. Goblet box squat to 12" box</t>
  </si>
  <si>
    <t>WT 44 lb KB</t>
  </si>
  <si>
    <t>Box gives PFP-friendly depth. Sit back, don't drop. RPE 7.</t>
  </si>
  <si>
    <t>C. Walking DB lunge (reverse if PFP flares)</t>
  </si>
  <si>
    <t>WT 30 lb ea DB</t>
  </si>
  <si>
    <t>Skip if knee symptoms. Sub step-ups.</t>
  </si>
  <si>
    <t>D. Single-leg hip thrust, shoulder on bench</t>
  </si>
  <si>
    <t>Glute med + max. Add 10-20 lb DB on hip when BW is easy.</t>
  </si>
  <si>
    <t>E. Conditioning finisher (3 rounds)</t>
  </si>
  <si>
    <t>circuit</t>
  </si>
  <si>
    <t>Bike or stairs</t>
  </si>
  <si>
    <t>Bike 40s hard/20s easy x4, 60s rest. Or Stair climber 90s mod x3. Track avg watts.</t>
  </si>
  <si>
    <t>F. Standing cable wood chop (high-to-low)</t>
  </si>
  <si>
    <t>Golf-specific. Hips lead.</t>
  </si>
  <si>
    <t>HR down after conditioning</t>
  </si>
  <si>
    <t>Month 3 - Day 1 (Conditioning Emphasis - mirrors M1D1)</t>
  </si>
  <si>
    <t>Loading guidance: Wk9: RPE 7 | Wk10: top single/double RPE 8 | Wk11: peak vol, RPE 8.5 | Wk12: hold, push reps - TEST  |  Progression pulled from: M1D1</t>
  </si>
  <si>
    <t>Yoga push-up / down-dog flow</t>
  </si>
  <si>
    <t>5 reps</t>
  </si>
  <si>
    <t>T-spine + posterior chain wake-up</t>
  </si>
  <si>
    <t>Same-pattern prep (M3)   |   Pairs with: A. Med ball rotational throw - heavy</t>
  </si>
  <si>
    <t>Cable wood chop, slow w/ end-range pause</t>
  </si>
  <si>
    <t>Tempo 3-1-1, pause 2 sec at finish. Heavier tissue prep than M1.</t>
  </si>
  <si>
    <t>Wk 9</t>
  </si>
  <si>
    <t>Wk 10</t>
  </si>
  <si>
    <t>Wk 11</t>
  </si>
  <si>
    <t>Wk 12</t>
  </si>
  <si>
    <t>A. Med ball rotational throw - heavy</t>
  </si>
  <si>
    <t>5 ea</t>
  </si>
  <si>
    <t>WT 14 lb</t>
  </si>
  <si>
    <t>Heavier balls now. Hips and ground drive. Progress to 20 lb by Wk 11 if velocity stays high.</t>
  </si>
  <si>
    <t>B. Hex bar deadlift</t>
  </si>
  <si>
    <t>Pull from M1D2</t>
  </si>
  <si>
    <t>Primer - not max effort. Conditioning day. Use 85-90% of M1D2 Wk4 actual. See Suggested Loads block.</t>
  </si>
  <si>
    <t>WT 34 lb ea KB</t>
  </si>
  <si>
    <t>Pre-fatigue lower. Up from M1D4 26 lb.</t>
  </si>
  <si>
    <t>C2. 1-arm KB push press (light)</t>
  </si>
  <si>
    <t>Optional - skip if R shoulder ROM limits. Sub standing barbell landmine press.</t>
  </si>
  <si>
    <t>D. Conditioning circuit (4 rounds, 45s rest)</t>
  </si>
  <si>
    <t>KB swing 53 lb</t>
  </si>
  <si>
    <t>Bike 30s hard / KB swing x15 (53 lb) / hurdle side shuffle x2 / TRX row x10.</t>
  </si>
  <si>
    <t>E. Tall-kneeling anti-rotation chop</t>
  </si>
  <si>
    <t>Golf rotational primer.</t>
  </si>
  <si>
    <t>Down-regulate</t>
  </si>
  <si>
    <t>Open book stretch hold</t>
  </si>
  <si>
    <t>3 ea side</t>
  </si>
  <si>
    <t>T-spine + R shoulder</t>
  </si>
  <si>
    <t>Suggested Starting Loads (pulled from M1D1 Wk-end actuals)</t>
  </si>
  <si>
    <t>Exercise (this cycle)</t>
  </si>
  <si>
    <t>Prior cycle exercise (M1D1)</t>
  </si>
  <si>
    <t>Prior actual (last wk)</t>
  </si>
  <si>
    <t>Suggested Min</t>
  </si>
  <si>
    <t>Suggested Max</t>
  </si>
  <si>
    <t>Month 3 - Day 2 (Strength Emphasis - mirrors M1D2)</t>
  </si>
  <si>
    <t>Loading guidance: Same as M3D1  |  Progression pulled from: M1D2</t>
  </si>
  <si>
    <t>5, 3, 3, 2, 2</t>
  </si>
  <si>
    <t>Peak strength sets to date. Target = M1D2 Wk4 +5-10%. See Suggested Loads block. RPE 8 top sets.</t>
  </si>
  <si>
    <t>B. DB bench press</t>
  </si>
  <si>
    <t>If R shoulder good, push load. Target = M1D2 floor press Wk4 +5-10%. RPE 8.</t>
  </si>
  <si>
    <t>C. Bulgarian split squat</t>
  </si>
  <si>
    <t>Heaviest split squat to date. Target = M1D2 Wk4 +7-15%. RPE 8.</t>
  </si>
  <si>
    <t>D. Weighted pull-up or heaviest pulldown</t>
  </si>
  <si>
    <t>WT 110 lb pulldown</t>
  </si>
  <si>
    <t>Neutral grip if available. RPE 8 target. Or +10-15 lb on pull-up if doing weighted.</t>
  </si>
  <si>
    <t>E. Glute-ham Nordic eccentric (slower)</t>
  </si>
  <si>
    <t>BW, 5-6 sec descent</t>
  </si>
  <si>
    <t>Build hamstring strength. Progression = slower eccentric, not load.</t>
  </si>
  <si>
    <t>F. Hollow body hold or dead bug</t>
  </si>
  <si>
    <t>30-40 sec</t>
  </si>
  <si>
    <t>BW + 4 lb ankles</t>
  </si>
  <si>
    <t>Anti-extension. Use 4 lb ankle weights for dead bug variation.</t>
  </si>
  <si>
    <t>Hip flexor recovery after heavy lower</t>
  </si>
  <si>
    <t>Counter pressing</t>
  </si>
  <si>
    <t>Suggested Starting Loads (pulled from M1D2 Wk-end actuals)</t>
  </si>
  <si>
    <t>Prior cycle exercise (M1D2)</t>
  </si>
  <si>
    <t>(no prior cycle analog - use Wk 1 RPE 5-6 to establish)</t>
  </si>
  <si>
    <t>Month 3 - Day 3 (Conditioning Emphasis - mirrors M1D3)</t>
  </si>
  <si>
    <t>Loading guidance: Same as M3D1  |  Progression pulled from: M1D3</t>
  </si>
  <si>
    <t>Same-pattern prep (M3)   |   Pairs with: A1. MB scoop toss + A2. Box jump</t>
  </si>
  <si>
    <t>Cable wood chop low-to-high, slow</t>
  </si>
  <si>
    <t>1 x 5 ea side</t>
  </si>
  <si>
    <t>Same plane as scoop toss. Tempo 3-1-1.</t>
  </si>
  <si>
    <t>Tempo goblet squat (3-1-1)</t>
  </si>
  <si>
    <t>1 x 5</t>
  </si>
  <si>
    <t>Same pattern as jump. Down 3 sec, pause 1, up 1 sec.</t>
  </si>
  <si>
    <t>A1. Med ball scoop toss (rotational, sideways)</t>
  </si>
  <si>
    <t>5 ea side</t>
  </si>
  <si>
    <t>Golf-specific power.</t>
  </si>
  <si>
    <t>A2. Box jump 12-20" (step down)</t>
  </si>
  <si>
    <t>Step down to protect knees and back. Sub broad jump if PFP. Wk 9 = 12", Wk 11+ = 20".</t>
  </si>
  <si>
    <t>B1. Goblet squat to 12" box</t>
  </si>
  <si>
    <t>Up from M1D3 34 lb.</t>
  </si>
  <si>
    <t>B2. Standing 1-arm cable row</t>
  </si>
  <si>
    <t>WT 50 lb cable</t>
  </si>
  <si>
    <t>Anti-rotation. Up from M1D3 30 lb.</t>
  </si>
  <si>
    <t>C. Intervals - Stair climber</t>
  </si>
  <si>
    <t>8 x 60s mod-hard/60s easy</t>
  </si>
  <si>
    <t>Track level</t>
  </si>
  <si>
    <t>Add 1 round each week up to Wk 11. Log avg level/step rate.</t>
  </si>
  <si>
    <t>D. Ankle weight side-lying leg lifts</t>
  </si>
  <si>
    <t>12 ea</t>
  </si>
  <si>
    <t>WT 4 lb ankle</t>
  </si>
  <si>
    <t>Hip stability for golf and PFP. Progress to 6 lb by Wk 11.</t>
  </si>
  <si>
    <t>E. Single-leg balance with reach (airex)</t>
  </si>
  <si>
    <t>Reactive single-leg stability.</t>
  </si>
  <si>
    <t>HR down</t>
  </si>
  <si>
    <t>Suggested Starting Loads (pulled from M1D3 Wk-end actuals)</t>
  </si>
  <si>
    <t>Prior cycle exercise (M1D3)</t>
  </si>
  <si>
    <t>Month 3 - Day 4 (Strength Emphasis - mirrors M1D4)</t>
  </si>
  <si>
    <t>Loading guidance: Same as M3D1  |  Progression pulled from: M1D4</t>
  </si>
  <si>
    <t>World's greatest stretch (slow)</t>
  </si>
  <si>
    <t>4 ea side</t>
  </si>
  <si>
    <t>Hip flexor, T-spine, hamstring</t>
  </si>
  <si>
    <t>A. Hex bar RDL</t>
  </si>
  <si>
    <t>Pull from M1D4</t>
  </si>
  <si>
    <t>Heaviest hinge sets. Target = M1D4 Wk4 +5-10%. RPE 8.</t>
  </si>
  <si>
    <t>B. DB incline press, neutral grip</t>
  </si>
  <si>
    <t>WT 40 lb ea DB</t>
  </si>
  <si>
    <t>Up from M1D4 half-kneeling press 25 lb. RPE 8 target.</t>
  </si>
  <si>
    <t>C. Chest-supported DB row</t>
  </si>
  <si>
    <t>Heavy. Pause at top. Target = M1D4 Wk4 +7-12.5%. RPE 8.</t>
  </si>
  <si>
    <t>D1. Step-up to 20" box (alternating)</t>
  </si>
  <si>
    <t>Drive through top heel. Up from M1D3 step-up 25 lb (taller box now).</t>
  </si>
  <si>
    <t>D2. 1-arm KB farmer carry</t>
  </si>
  <si>
    <t>40 yd ea</t>
  </si>
  <si>
    <t>WT 62 lb KB</t>
  </si>
  <si>
    <t>Suitcase position. No lean. Up from M1D2 53 lb. Progress to 70-80 lb if controlled.</t>
  </si>
  <si>
    <t>E. Cable wood chop (both directions)</t>
  </si>
  <si>
    <t>8 ea direction</t>
  </si>
  <si>
    <t>Both planes of rotational power.</t>
  </si>
  <si>
    <t>R shoulder ER + T-spine</t>
  </si>
  <si>
    <t>Standing forward fold</t>
  </si>
  <si>
    <t>Suggested Starting Loads (pulled from M1D4 Wk-end actuals)</t>
  </si>
  <si>
    <t>Prior cycle exercise (M1D4)</t>
  </si>
  <si>
    <t>Month 4 - Day 1 (Push - mirrors M2D1)</t>
  </si>
  <si>
    <t>Loading guidance: Wk13: RPE 7-8 | Wk14: RPE 8, top single | Wk15: RPE 8.5 peak | Wk16: DELOAD + retest  |  Progression pulled from: M2D1</t>
  </si>
  <si>
    <t>Wk 13</t>
  </si>
  <si>
    <t>Wk 14</t>
  </si>
  <si>
    <t>Wk 15</t>
  </si>
  <si>
    <t>Wk 16</t>
  </si>
  <si>
    <t>A. DB bench press (neutral if needed)</t>
  </si>
  <si>
    <t>Pull from M2D1</t>
  </si>
  <si>
    <t>Strongest pressing of the program. Target = M2D1 Wk7 +5-10%. RPE 8.</t>
  </si>
  <si>
    <t>B. Standing barbell landmine press (1-arm)</t>
  </si>
  <si>
    <t>Barbell in landmine, plates on working end. Target = M2D1 Wk7 +7-12.5%. Best overhead sub for R TSA.</t>
  </si>
  <si>
    <t>C. Low-incline DB press (~15 deg)</t>
  </si>
  <si>
    <t>RPE 8 target. Slight incline keeps R shoulder happy vs flat.</t>
  </si>
  <si>
    <t>D1. Cable lateral raise (light, partial ROM)</t>
  </si>
  <si>
    <t>WT 10 lb cable</t>
  </si>
  <si>
    <t>Bias mid-range, avoid forced end-range. Strict tempo.</t>
  </si>
  <si>
    <t>D2. Cable triceps push-down</t>
  </si>
  <si>
    <t>E. TRX face pull + ER</t>
  </si>
  <si>
    <t>Cuff insurance, every push day.</t>
  </si>
  <si>
    <t>F. TRX fallout or plank shoulder tap</t>
  </si>
  <si>
    <t>Plank tap if R shoulder limits fallout.</t>
  </si>
  <si>
    <t>Counter heavy pressing</t>
  </si>
  <si>
    <t>Banded shoulder distraction</t>
  </si>
  <si>
    <t>Suggested Starting Loads (pulled from M2D1 Wk-end actuals)</t>
  </si>
  <si>
    <t>Prior cycle exercise (M2D1)</t>
  </si>
  <si>
    <t>Month 4 - Day 2 (Pull + Trunk - mirrors M2D3)</t>
  </si>
  <si>
    <t>Loading guidance: Same as M4D1  |  Progression pulled from: M2D3</t>
  </si>
  <si>
    <t>A. Pull-up (weighted if able) or pulldown</t>
  </si>
  <si>
    <t>6, 6, 5, 5, 5</t>
  </si>
  <si>
    <t>Pull from M2D3</t>
  </si>
  <si>
    <t>No kipping. Slow eccentric. Target = M2D3 Wk7 +5-10%. RPE 8.</t>
  </si>
  <si>
    <t>Heaviest rows of the program. Target = M2D3 Wk7 +7-12.5%. RPE 8.</t>
  </si>
  <si>
    <t>Volume row variation. Target = M2D1 Wk7 +7-12.5%.</t>
  </si>
  <si>
    <t>D1. Cable face pull + ER</t>
  </si>
  <si>
    <t>Up from M2D3 30 lb.</t>
  </si>
  <si>
    <t>D2. DB hammer curl</t>
  </si>
  <si>
    <t>Up from M2D1 25 lb.</t>
  </si>
  <si>
    <t>E. Glute-ham back extension iso</t>
  </si>
  <si>
    <t>30 sec</t>
  </si>
  <si>
    <t>WT 10 lb plate</t>
  </si>
  <si>
    <t>Posterior chain endurance. Hold plate at chest.</t>
  </si>
  <si>
    <t>F. Trunk circuit (3 rounds)</t>
  </si>
  <si>
    <t>Pallof 30 lb</t>
  </si>
  <si>
    <t>Side plank 30s ea + Pallof 8 ea (30 lb cable) + dead bug 8 ea.</t>
  </si>
  <si>
    <t>Lat decompression after pull volume</t>
  </si>
  <si>
    <t>Banded lat stretch</t>
  </si>
  <si>
    <t>Suggested Starting Loads (pulled from M2D3 Wk-end actuals)</t>
  </si>
  <si>
    <t>Prior cycle exercise (M2D3)</t>
  </si>
  <si>
    <t>Month 4 - Day 3 (Lower Strength - mirrors M2D2)</t>
  </si>
  <si>
    <t>Loading guidance: Same as M4D1  |  Progression pulled from: M2D2</t>
  </si>
  <si>
    <t>5, 3, 2, 2, 1</t>
  </si>
  <si>
    <t>Pull from M2D2</t>
  </si>
  <si>
    <t>Top single is the program strength test. Target = M2D2 Wk7 +7-12% on top single. RPE 8.5 top set Wk 15.</t>
  </si>
  <si>
    <t>PFP-aware depth. Pause 1 sec at bottom. Target = M2D2 Wk7 +7-15%.</t>
  </si>
  <si>
    <t>C. Hip thrust, DB on hips</t>
  </si>
  <si>
    <t>Pause 1 sec at top. Target = M2D2 Wk7 +5-10%. RPE 8.</t>
  </si>
  <si>
    <t>D. Glute-ham Nordic eccentric</t>
  </si>
  <si>
    <t>BW, 6-8 sec down</t>
  </si>
  <si>
    <t>Progress = slower eccentric, not load. Slowest descent of the program.</t>
  </si>
  <si>
    <t>WT 35 lb DB</t>
  </si>
  <si>
    <t>PFP and tib post support. Up from M2D2 25 lb.</t>
  </si>
  <si>
    <t>F. Tall-kneeling Pallof hold + rotation tap</t>
  </si>
  <si>
    <t>Up from M3D1 chop 30 lb.</t>
  </si>
  <si>
    <t>Heavy lower hip flexor recovery</t>
  </si>
  <si>
    <t>Suggested Starting Loads (pulled from M2D2 Wk-end actuals)</t>
  </si>
  <si>
    <t>Prior cycle exercise (M2D2)</t>
  </si>
  <si>
    <t>Month 4 - Day 4 (Lower + Power - mirrors M2D4)</t>
  </si>
  <si>
    <t>Loading guidance: Same as M4D1  |  Progression pulled from: M2D4</t>
  </si>
  <si>
    <t>Antagonist/contrast prep (M4)   |   Pairs with: A1. MB rotational throw + A2. Box jump</t>
  </si>
  <si>
    <t>Pallof press iso-hold</t>
  </si>
  <si>
    <t>1 x 3 ea side, 10s hold</t>
  </si>
  <si>
    <t>Hold against rotation, release immediately into throw. PAP setup.</t>
  </si>
  <si>
    <t>Isometric wall-sit</t>
  </si>
  <si>
    <t>1 x 15 sec</t>
  </si>
  <si>
    <t>Builds tension in quads/glutes. Stand up, walk 3 steps, then jump. PAP setup.</t>
  </si>
  <si>
    <t>A1. Med ball rotational throw - max intent</t>
  </si>
  <si>
    <t>Speed of throw is the metric, not load. Full hip rotation. Lighter than M3 by design.</t>
  </si>
  <si>
    <t>A2. Box jump (step down) or broad jump</t>
  </si>
  <si>
    <t>BW (24" box)</t>
  </si>
  <si>
    <t>Power output day. Step down - never jump down. Progress to 24" box if 20" mastered.</t>
  </si>
  <si>
    <t>B. Hex bar RDL</t>
  </si>
  <si>
    <t>Pull from M2D4</t>
  </si>
  <si>
    <t>Volume hinge. Hamstring length matters. Target = M2D4 Wk7 +5-10%. RPE 7-8.</t>
  </si>
  <si>
    <t>C. Step-up to 20" box</t>
  </si>
  <si>
    <t>Slow up, slow down. Up from M3D4 35 lb.</t>
  </si>
  <si>
    <t>D. Lateral lunge (slide or step)</t>
  </si>
  <si>
    <t>Frontal-plane strength - golf relevant.</t>
  </si>
  <si>
    <t>E. Conditioning - Lateral-X Octane</t>
  </si>
  <si>
    <t>6 x 45s hard/75s easy</t>
  </si>
  <si>
    <t>Frontal-plane conditioning. Log avg level/watts.</t>
  </si>
  <si>
    <t>F. Cable wood chop combo</t>
  </si>
  <si>
    <t>6 ea direction</t>
  </si>
  <si>
    <t>Golf rotational finisher.</t>
  </si>
  <si>
    <t>HR down after lateral conditioning</t>
  </si>
  <si>
    <t>Frontal-plane recovery</t>
  </si>
  <si>
    <t>Rotational reset for golf</t>
  </si>
  <si>
    <t>Suggested Starting Loads (pulled from M2D4 Wk-end actuals)</t>
  </si>
  <si>
    <t>Prior cycle exercise (M2D4)</t>
  </si>
  <si>
    <t>Top-Set Tracking Dashboard</t>
  </si>
  <si>
    <t>Auto-populated from your weekly actuals. Tracks key compound lifts across all 16 weeks.</t>
  </si>
  <si>
    <t>Lift</t>
  </si>
  <si>
    <t>Source Sheet / Row</t>
  </si>
  <si>
    <t>Wk Range</t>
  </si>
  <si>
    <t>Wk-end Load (lb)</t>
  </si>
  <si>
    <t>% Change vs Prior Cycle</t>
  </si>
  <si>
    <t>Prior Cycle Wk-end (lb)</t>
  </si>
  <si>
    <t>Hex Bar Deadlift</t>
  </si>
  <si>
    <t>M1D2 row 31</t>
  </si>
  <si>
    <t>Wks 1-4</t>
  </si>
  <si>
    <t>(baseline)</t>
  </si>
  <si>
    <t>M2D2 row 31</t>
  </si>
  <si>
    <t>Wks 5-8</t>
  </si>
  <si>
    <t>M3D2 row 31</t>
  </si>
  <si>
    <t>Wks 9-12</t>
  </si>
  <si>
    <t>M4D3 row 31</t>
  </si>
  <si>
    <t>Wks 13-16</t>
  </si>
  <si>
    <t>Hex Bar RDL</t>
  </si>
  <si>
    <t>M1D4 row 31</t>
  </si>
  <si>
    <t>M2D4 row 31</t>
  </si>
  <si>
    <t>M3D4 row 31</t>
  </si>
  <si>
    <t>M4D4 row 33</t>
  </si>
  <si>
    <t>DB Floor/Bench Press</t>
  </si>
  <si>
    <t>M1D2 row 32</t>
  </si>
  <si>
    <t>M2D1 row 32</t>
  </si>
  <si>
    <t>DB Bench Press</t>
  </si>
  <si>
    <t>M3D2 row 32</t>
  </si>
  <si>
    <t>M4D1 row 31</t>
  </si>
  <si>
    <t>Bulgarian Split Squat</t>
  </si>
  <si>
    <t>M1D2 row 34</t>
  </si>
  <si>
    <t>M2D2 row 32</t>
  </si>
  <si>
    <t>M3D2 row 33</t>
  </si>
  <si>
    <t>M4D3 row 32</t>
  </si>
  <si>
    <t>Hip Thrust</t>
  </si>
  <si>
    <t>M2D2 row 33</t>
  </si>
  <si>
    <t>M4D3 row 33</t>
  </si>
  <si>
    <t>1-Arm DB Row</t>
  </si>
  <si>
    <t>M2D3 row 32</t>
  </si>
  <si>
    <t>M4D2 row 32</t>
  </si>
  <si>
    <t>Chest-Supported DB Row</t>
  </si>
  <si>
    <t>M1D4 row 33</t>
  </si>
  <si>
    <t>M2D1 row 34</t>
  </si>
  <si>
    <t>M3D4 row 33</t>
  </si>
  <si>
    <t>M4D2 row 33</t>
  </si>
  <si>
    <t>Standing Barbell Landmine Press</t>
  </si>
  <si>
    <t>M2D1 row 33</t>
  </si>
  <si>
    <t>M4D1 row 32</t>
  </si>
  <si>
    <t>Quick Math</t>
  </si>
  <si>
    <t>Avg % change across tracked lifts (filled rows only):</t>
  </si>
  <si>
    <t>Target zone: 5-15% improvement per cycle.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</si>
</sst>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1">
    <font>
      <sz val="11.0"/>
      <color theme="1"/>
      <name val="Calibri"/>
      <scheme val="minor"/>
    </font>
    <font>
      <b/>
      <sz val="16.0"/>
      <color rgb="FF1F4E79"/>
      <name val="Calibri"/>
    </font>
    <font>
      <i/>
      <sz val="10.0"/>
      <color rgb="FF595959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rgb="FF1F4E79"/>
      <name val="Calibri"/>
    </font>
    <font>
      <b/>
      <sz val="14.0"/>
      <color rgb="FFFFFFFF"/>
      <name val="Calibri"/>
    </font>
    <font/>
    <font>
      <b/>
      <sz val="11.0"/>
      <color rgb="FF1F4E79"/>
      <name val="Calibri"/>
    </font>
    <font>
      <b/>
      <sz val="11.0"/>
      <color rgb="FFC6591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2E5C8A"/>
        <bgColor rgb="FF2E5C8A"/>
      </patternFill>
    </fill>
    <fill>
      <patternFill patternType="solid">
        <fgColor rgb="FFC65911"/>
        <bgColor rgb="FFC65911"/>
      </patternFill>
    </fill>
  </fills>
  <borders count="11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5" numFmtId="164" xfId="0" applyAlignment="1" applyBorder="1" applyFill="1" applyFont="1" applyNumberFormat="1">
      <alignment horizontal="left" shrinkToFit="0" vertical="center" wrapText="1"/>
    </xf>
    <xf borderId="1" fillId="4" fontId="4" numFmtId="164" xfId="0" applyAlignment="1" applyBorder="1" applyFill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1"/>
    </xf>
    <xf borderId="1" fillId="3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1" fillId="5" fontId="5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left" shrinkToFit="0" vertical="center" wrapText="1"/>
    </xf>
    <xf borderId="2" fillId="6" fontId="7" numFmtId="0" xfId="0" applyAlignment="1" applyBorder="1" applyFill="1" applyFont="1">
      <alignment horizontal="left" shrinkToFit="0" vertical="center" wrapText="0"/>
    </xf>
    <xf borderId="3" fillId="0" fontId="8" numFmtId="0" xfId="0" applyBorder="1" applyFont="1"/>
    <xf borderId="4" fillId="0" fontId="8" numFmtId="0" xfId="0" applyBorder="1" applyFont="1"/>
    <xf borderId="0" fillId="0" fontId="9" numFmtId="0" xfId="0" applyAlignment="1" applyFont="1">
      <alignment shrinkToFit="0" vertical="bottom" wrapText="0"/>
    </xf>
    <xf borderId="5" fillId="2" fontId="3" numFmtId="0" xfId="0" applyAlignment="1" applyBorder="1" applyFont="1">
      <alignment horizontal="left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0" fontId="5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5" fillId="5" fontId="2" numFmtId="0" xfId="0" applyAlignment="1" applyBorder="1" applyFont="1">
      <alignment horizontal="left" shrinkToFit="0" vertical="center" wrapText="1"/>
    </xf>
    <xf borderId="2" fillId="7" fontId="7" numFmtId="0" xfId="0" applyAlignment="1" applyBorder="1" applyFill="1" applyFont="1">
      <alignment horizontal="left" shrinkToFit="0" vertical="center" wrapText="0"/>
    </xf>
    <xf borderId="0" fillId="0" fontId="10" numFmtId="0" xfId="0" applyAlignment="1" applyFont="1">
      <alignment shrinkToFit="0" vertical="bottom" wrapText="0"/>
    </xf>
    <xf borderId="5" fillId="0" fontId="4" numFmtId="0" xfId="0" applyAlignment="1" applyBorder="1" applyFont="1">
      <alignment horizontal="left" shrinkToFit="0" vertical="center" wrapText="1"/>
    </xf>
    <xf borderId="2" fillId="2" fontId="7" numFmtId="0" xfId="0" applyAlignment="1" applyBorder="1" applyFont="1">
      <alignment horizontal="left" shrinkToFit="0" vertical="center" wrapText="0"/>
    </xf>
    <xf borderId="8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9" fillId="0" fontId="8" numFmtId="0" xfId="0" applyBorder="1" applyFont="1"/>
    <xf borderId="1" fillId="5" fontId="4" numFmtId="0" xfId="0" applyAlignment="1" applyBorder="1" applyFont="1">
      <alignment shrinkToFit="0" vertical="bottom" wrapText="0"/>
    </xf>
    <xf borderId="1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3" fontId="5" numFmtId="1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1" fillId="4" fontId="4" numFmtId="1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5" numFmtId="1" xfId="0" applyAlignment="1" applyBorder="1" applyFont="1" applyNumberForma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4" fontId="5" numFmtId="1" xfId="0" applyAlignment="1" applyBorder="1" applyFont="1" applyNumberFormat="1">
      <alignment horizontal="center" shrinkToFit="0" vertical="center" wrapText="1"/>
    </xf>
    <xf borderId="1" fillId="5" fontId="2" numFmtId="0" xfId="0" applyAlignment="1" applyBorder="1" applyFont="1">
      <alignment shrinkToFit="0" vertical="bottom" wrapText="0"/>
    </xf>
    <xf borderId="5" fillId="5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1"/>
    </xf>
    <xf borderId="1" fillId="4" fontId="5" numFmtId="164" xfId="0" applyAlignment="1" applyBorder="1" applyFont="1" applyNumberFormat="1">
      <alignment horizontal="center" shrinkToFit="0" vertical="center" wrapText="1"/>
    </xf>
    <xf borderId="10" fillId="4" fontId="4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6.0"/>
    <col customWidth="1" min="4" max="4" width="22.0"/>
    <col customWidth="1" min="5" max="5" width="70.0"/>
    <col customWidth="1" min="6" max="26" width="8.71"/>
  </cols>
  <sheetData>
    <row r="1">
      <c r="A1" s="1" t="s">
        <v>0</v>
      </c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</row>
    <row r="6">
      <c r="A6" s="4" t="s">
        <v>7</v>
      </c>
      <c r="B6" s="5">
        <v>0.05</v>
      </c>
      <c r="C6" s="5">
        <v>0.1</v>
      </c>
      <c r="D6" s="6">
        <f t="shared" ref="D6:D11" si="1">AVERAGE(B6:C6)</f>
        <v>0.075</v>
      </c>
      <c r="E6" s="7" t="s">
        <v>8</v>
      </c>
    </row>
    <row r="7">
      <c r="A7" s="4" t="s">
        <v>9</v>
      </c>
      <c r="B7" s="5">
        <v>0.075</v>
      </c>
      <c r="C7" s="5">
        <v>0.125</v>
      </c>
      <c r="D7" s="6">
        <f t="shared" si="1"/>
        <v>0.1</v>
      </c>
      <c r="E7" s="7" t="s">
        <v>10</v>
      </c>
    </row>
    <row r="8">
      <c r="A8" s="4" t="s">
        <v>11</v>
      </c>
      <c r="B8" s="5">
        <v>0.075</v>
      </c>
      <c r="C8" s="5">
        <v>0.15</v>
      </c>
      <c r="D8" s="6">
        <f t="shared" si="1"/>
        <v>0.1125</v>
      </c>
      <c r="E8" s="7" t="s">
        <v>12</v>
      </c>
    </row>
    <row r="9">
      <c r="A9" s="4" t="s">
        <v>13</v>
      </c>
      <c r="B9" s="5">
        <v>0.05</v>
      </c>
      <c r="C9" s="5">
        <v>0.1</v>
      </c>
      <c r="D9" s="6">
        <f t="shared" si="1"/>
        <v>0.075</v>
      </c>
      <c r="E9" s="7" t="s">
        <v>14</v>
      </c>
    </row>
    <row r="10">
      <c r="A10" s="4" t="s">
        <v>15</v>
      </c>
      <c r="B10" s="5">
        <v>0.05</v>
      </c>
      <c r="C10" s="5">
        <v>0.1</v>
      </c>
      <c r="D10" s="6">
        <f t="shared" si="1"/>
        <v>0.075</v>
      </c>
      <c r="E10" s="7" t="s">
        <v>16</v>
      </c>
    </row>
    <row r="11">
      <c r="A11" s="4" t="s">
        <v>17</v>
      </c>
      <c r="B11" s="5">
        <v>0.075</v>
      </c>
      <c r="C11" s="5">
        <v>0.15</v>
      </c>
      <c r="D11" s="6">
        <f t="shared" si="1"/>
        <v>0.1125</v>
      </c>
      <c r="E11" s="7" t="s">
        <v>18</v>
      </c>
    </row>
    <row r="14">
      <c r="A14" s="8" t="s">
        <v>19</v>
      </c>
    </row>
    <row r="15" ht="15.0" customHeight="1">
      <c r="A15" s="9" t="s">
        <v>20</v>
      </c>
    </row>
    <row r="16" ht="15.0" customHeight="1">
      <c r="A16" s="9" t="s">
        <v>21</v>
      </c>
    </row>
    <row r="17" ht="15.0" customHeight="1">
      <c r="A17" s="9" t="s">
        <v>22</v>
      </c>
    </row>
    <row r="18" ht="15.0" customHeight="1">
      <c r="A18" s="9" t="s">
        <v>23</v>
      </c>
    </row>
    <row r="19" ht="15.0" customHeight="1">
      <c r="A19" s="9" t="s">
        <v>24</v>
      </c>
    </row>
    <row r="20" ht="15.0" customHeight="1">
      <c r="A20" s="9" t="s">
        <v>25</v>
      </c>
    </row>
    <row r="21" ht="15.0" customHeight="1">
      <c r="A21" s="9" t="s">
        <v>26</v>
      </c>
    </row>
    <row r="22" ht="15.0" customHeight="1">
      <c r="A22" s="9" t="s">
        <v>27</v>
      </c>
    </row>
    <row r="23" ht="15.75" customHeight="1"/>
    <row r="24" ht="15.75" customHeight="1"/>
    <row r="25" ht="15.75" customHeight="1">
      <c r="A25" s="8" t="s">
        <v>28</v>
      </c>
    </row>
    <row r="26" ht="15.75" customHeight="1">
      <c r="A26" s="10" t="s">
        <v>29</v>
      </c>
      <c r="B26" s="11" t="s">
        <v>30</v>
      </c>
    </row>
    <row r="27" ht="15.75" customHeight="1">
      <c r="A27" s="12" t="s">
        <v>31</v>
      </c>
      <c r="B27" s="11" t="s">
        <v>32</v>
      </c>
    </row>
    <row r="28" ht="15.75" customHeight="1">
      <c r="A28" s="13" t="s">
        <v>33</v>
      </c>
      <c r="B28" s="11" t="s">
        <v>34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0:E20"/>
    <mergeCell ref="A21:E21"/>
    <mergeCell ref="A22:E22"/>
    <mergeCell ref="A1:D1"/>
    <mergeCell ref="A3:E3"/>
    <mergeCell ref="A15:E15"/>
    <mergeCell ref="A16:E16"/>
    <mergeCell ref="A17:E17"/>
    <mergeCell ref="A18:E18"/>
    <mergeCell ref="A19:E1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35</v>
      </c>
    </row>
    <row r="2" ht="31.5" customHeight="1">
      <c r="A2" s="14" t="s">
        <v>36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45</v>
      </c>
      <c r="B7" s="20"/>
      <c r="C7" s="20"/>
      <c r="D7" s="20"/>
      <c r="E7" s="20"/>
      <c r="F7" s="20"/>
      <c r="G7" s="21"/>
      <c r="H7" s="24" t="s">
        <v>46</v>
      </c>
      <c r="I7" s="20"/>
      <c r="J7" s="21"/>
      <c r="K7" s="25" t="s">
        <v>47</v>
      </c>
      <c r="L7" s="20"/>
      <c r="M7" s="20"/>
      <c r="N7" s="20"/>
      <c r="O7" s="20"/>
      <c r="P7" s="21"/>
    </row>
    <row r="8" ht="18.0" customHeight="1">
      <c r="A8" s="22" t="s">
        <v>48</v>
      </c>
      <c r="B8" s="20"/>
      <c r="C8" s="20"/>
      <c r="D8" s="20"/>
      <c r="E8" s="20"/>
      <c r="F8" s="20"/>
      <c r="G8" s="21"/>
      <c r="H8" s="22" t="s">
        <v>49</v>
      </c>
      <c r="I8" s="20"/>
      <c r="J8" s="21"/>
      <c r="K8" s="23" t="s">
        <v>50</v>
      </c>
      <c r="L8" s="20"/>
      <c r="M8" s="20"/>
      <c r="N8" s="20"/>
      <c r="O8" s="20"/>
      <c r="P8" s="21"/>
    </row>
    <row r="9" ht="18.0" customHeight="1">
      <c r="A9" s="24" t="s">
        <v>51</v>
      </c>
      <c r="B9" s="20"/>
      <c r="C9" s="20"/>
      <c r="D9" s="20"/>
      <c r="E9" s="20"/>
      <c r="F9" s="20"/>
      <c r="G9" s="21"/>
      <c r="H9" s="24" t="s">
        <v>52</v>
      </c>
      <c r="I9" s="20"/>
      <c r="J9" s="21"/>
      <c r="K9" s="25" t="s">
        <v>53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7" t="s">
        <v>82</v>
      </c>
    </row>
    <row r="23" ht="18.0" customHeight="1">
      <c r="A23" s="19" t="s">
        <v>83</v>
      </c>
      <c r="B23" s="20"/>
      <c r="C23" s="20"/>
      <c r="D23" s="20"/>
      <c r="E23" s="20"/>
      <c r="F23" s="20"/>
      <c r="G23" s="21"/>
      <c r="H23" s="19" t="s">
        <v>40</v>
      </c>
      <c r="I23" s="20"/>
      <c r="J23" s="21"/>
      <c r="K23" s="19" t="s">
        <v>41</v>
      </c>
      <c r="L23" s="20"/>
      <c r="M23" s="20"/>
      <c r="N23" s="20"/>
      <c r="O23" s="20"/>
      <c r="P23" s="21"/>
    </row>
    <row r="24" ht="21.75" customHeight="1">
      <c r="A24" s="28" t="s">
        <v>84</v>
      </c>
      <c r="B24" s="20"/>
      <c r="C24" s="20"/>
      <c r="D24" s="20"/>
      <c r="E24" s="20"/>
      <c r="F24" s="20"/>
      <c r="G24" s="21"/>
      <c r="H24" s="22" t="s">
        <v>85</v>
      </c>
      <c r="I24" s="20"/>
      <c r="J24" s="21"/>
      <c r="K24" s="23" t="s">
        <v>86</v>
      </c>
      <c r="L24" s="20"/>
      <c r="M24" s="20"/>
      <c r="N24" s="20"/>
      <c r="O24" s="20"/>
      <c r="P24" s="21"/>
    </row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92</v>
      </c>
      <c r="F29" s="21"/>
      <c r="G29" s="31" t="s">
        <v>93</v>
      </c>
      <c r="H29" s="21"/>
      <c r="I29" s="31" t="s">
        <v>94</v>
      </c>
      <c r="J29" s="21"/>
      <c r="K29" s="31" t="s">
        <v>95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101</v>
      </c>
      <c r="B31" s="34" t="s">
        <v>102</v>
      </c>
      <c r="C31" s="34" t="s">
        <v>46</v>
      </c>
      <c r="D31" s="35" t="s">
        <v>103</v>
      </c>
      <c r="E31" s="36"/>
      <c r="F31" s="37"/>
      <c r="G31" s="36"/>
      <c r="H31" s="37"/>
      <c r="I31" s="36"/>
      <c r="J31" s="37"/>
      <c r="K31" s="36"/>
      <c r="L31" s="37"/>
      <c r="M31" s="38" t="s">
        <v>104</v>
      </c>
      <c r="N31" s="39" t="str">
        <f>IF(OR(NOT(ISNUMBER(K31)),K31=0),"",ROUND(K31*(1+Settings!$B$9),0))</f>
        <v/>
      </c>
      <c r="O31" s="39" t="str">
        <f>IF(OR(NOT(ISNUMBER(K31)),K31=0),"",ROUND(K31*(1+Settings!$C$9),0))</f>
        <v/>
      </c>
      <c r="P31" s="40" t="s">
        <v>13</v>
      </c>
    </row>
    <row r="32" ht="36.0" customHeight="1">
      <c r="A32" s="33" t="s">
        <v>105</v>
      </c>
      <c r="B32" s="34" t="s">
        <v>102</v>
      </c>
      <c r="C32" s="34" t="s">
        <v>106</v>
      </c>
      <c r="D32" s="35" t="s">
        <v>107</v>
      </c>
      <c r="E32" s="36"/>
      <c r="F32" s="37"/>
      <c r="G32" s="36"/>
      <c r="H32" s="37"/>
      <c r="I32" s="36"/>
      <c r="J32" s="37"/>
      <c r="K32" s="36"/>
      <c r="L32" s="37"/>
      <c r="M32" s="38" t="s">
        <v>108</v>
      </c>
      <c r="N32" s="39" t="str">
        <f>IF(OR(NOT(ISNUMBER(K32)),K32=0),"",ROUND(K32*(1+Settings!$B$6),0))</f>
        <v/>
      </c>
      <c r="O32" s="39" t="str">
        <f>IF(OR(NOT(ISNUMBER(K32)),K32=0),"",ROUND(K32*(1+Settings!$C$6),0))</f>
        <v/>
      </c>
      <c r="P32" s="40" t="s">
        <v>7</v>
      </c>
    </row>
    <row r="33" ht="36.0" customHeight="1">
      <c r="A33" s="33" t="s">
        <v>109</v>
      </c>
      <c r="B33" s="34" t="s">
        <v>102</v>
      </c>
      <c r="C33" s="34" t="s">
        <v>52</v>
      </c>
      <c r="D33" s="35" t="s">
        <v>103</v>
      </c>
      <c r="E33" s="36"/>
      <c r="F33" s="37"/>
      <c r="G33" s="36"/>
      <c r="H33" s="37"/>
      <c r="I33" s="36"/>
      <c r="J33" s="37"/>
      <c r="K33" s="36"/>
      <c r="L33" s="37"/>
      <c r="M33" s="38" t="s">
        <v>110</v>
      </c>
      <c r="N33" s="39" t="str">
        <f>IF(OR(NOT(ISNUMBER(K33)),K33=0),"",ROUND(K33*(1+Settings!$B$7),0))</f>
        <v/>
      </c>
      <c r="O33" s="39" t="str">
        <f>IF(OR(NOT(ISNUMBER(K33)),K33=0),"",ROUND(K33*(1+Settings!$C$7),0))</f>
        <v/>
      </c>
      <c r="P33" s="40" t="s">
        <v>9</v>
      </c>
    </row>
    <row r="34" ht="36.0" customHeight="1">
      <c r="A34" s="33" t="s">
        <v>111</v>
      </c>
      <c r="B34" s="34" t="s">
        <v>102</v>
      </c>
      <c r="C34" s="34" t="s">
        <v>52</v>
      </c>
      <c r="D34" s="35" t="s">
        <v>112</v>
      </c>
      <c r="E34" s="36"/>
      <c r="F34" s="37"/>
      <c r="G34" s="36"/>
      <c r="H34" s="37"/>
      <c r="I34" s="36"/>
      <c r="J34" s="37"/>
      <c r="K34" s="36"/>
      <c r="L34" s="37"/>
      <c r="M34" s="38" t="s">
        <v>113</v>
      </c>
      <c r="N34" s="39" t="str">
        <f>IF(OR(NOT(ISNUMBER(K34)),K34=0),"",ROUND(K34*(1+Settings!$B$8),0))</f>
        <v/>
      </c>
      <c r="O34" s="39" t="str">
        <f>IF(OR(NOT(ISNUMBER(K34)),K34=0),"",ROUND(K34*(1+Settings!$C$8),0))</f>
        <v/>
      </c>
      <c r="P34" s="40" t="s">
        <v>11</v>
      </c>
    </row>
    <row r="35" ht="36.0" customHeight="1">
      <c r="A35" s="33" t="s">
        <v>114</v>
      </c>
      <c r="B35" s="34" t="s">
        <v>102</v>
      </c>
      <c r="C35" s="34" t="s">
        <v>115</v>
      </c>
      <c r="D35" s="35" t="s">
        <v>116</v>
      </c>
      <c r="E35" s="36"/>
      <c r="F35" s="37"/>
      <c r="G35" s="36"/>
      <c r="H35" s="37"/>
      <c r="I35" s="36"/>
      <c r="J35" s="37"/>
      <c r="K35" s="36"/>
      <c r="L35" s="37"/>
      <c r="M35" s="38" t="s">
        <v>117</v>
      </c>
      <c r="N35" s="34" t="s">
        <v>118</v>
      </c>
      <c r="O35" s="34" t="s">
        <v>118</v>
      </c>
      <c r="P35" s="40" t="s">
        <v>15</v>
      </c>
    </row>
    <row r="36" ht="36.0" customHeight="1">
      <c r="A36" s="33" t="s">
        <v>119</v>
      </c>
      <c r="B36" s="34" t="s">
        <v>102</v>
      </c>
      <c r="C36" s="34" t="s">
        <v>120</v>
      </c>
      <c r="D36" s="35" t="s">
        <v>121</v>
      </c>
      <c r="E36" s="36"/>
      <c r="F36" s="37"/>
      <c r="G36" s="36"/>
      <c r="H36" s="37"/>
      <c r="I36" s="36"/>
      <c r="J36" s="37"/>
      <c r="K36" s="36"/>
      <c r="L36" s="37"/>
      <c r="M36" s="38" t="s">
        <v>122</v>
      </c>
      <c r="N36" s="39" t="str">
        <f>IF(OR(NOT(ISNUMBER(K36)),K36=0),"",ROUND(K36*(1+Settings!$B$11),0))</f>
        <v/>
      </c>
      <c r="O36" s="39" t="str">
        <f>IF(OR(NOT(ISNUMBER(K36)),K36=0),"",ROUND(K36*(1+Settings!$C$11),0))</f>
        <v/>
      </c>
      <c r="P36" s="40" t="s">
        <v>17</v>
      </c>
    </row>
    <row r="37" ht="15.75" customHeight="1"/>
    <row r="38" ht="15.75" customHeight="1"/>
    <row r="39" ht="21.75" customHeight="1">
      <c r="A39" s="15" t="s">
        <v>123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ht="18.0" customHeight="1">
      <c r="A40" s="19" t="s">
        <v>39</v>
      </c>
      <c r="B40" s="20"/>
      <c r="C40" s="20"/>
      <c r="D40" s="20"/>
      <c r="E40" s="20"/>
      <c r="F40" s="20"/>
      <c r="G40" s="21"/>
      <c r="H40" s="19" t="s">
        <v>40</v>
      </c>
      <c r="I40" s="20"/>
      <c r="J40" s="21"/>
      <c r="K40" s="19" t="s">
        <v>124</v>
      </c>
      <c r="L40" s="20"/>
      <c r="M40" s="20"/>
      <c r="N40" s="20"/>
      <c r="O40" s="20"/>
      <c r="P40" s="21"/>
    </row>
    <row r="41" ht="21.75" customHeight="1">
      <c r="A41" s="22" t="s">
        <v>125</v>
      </c>
      <c r="B41" s="20"/>
      <c r="C41" s="20"/>
      <c r="D41" s="20"/>
      <c r="E41" s="20"/>
      <c r="F41" s="20"/>
      <c r="G41" s="21"/>
      <c r="H41" s="22" t="s">
        <v>126</v>
      </c>
      <c r="I41" s="20"/>
      <c r="J41" s="21"/>
      <c r="K41" s="23" t="s">
        <v>127</v>
      </c>
      <c r="L41" s="20"/>
      <c r="M41" s="20"/>
      <c r="N41" s="20"/>
      <c r="O41" s="20"/>
      <c r="P41" s="21"/>
    </row>
    <row r="42" ht="21.75" customHeight="1">
      <c r="A42" s="24" t="s">
        <v>128</v>
      </c>
      <c r="B42" s="20"/>
      <c r="C42" s="20"/>
      <c r="D42" s="20"/>
      <c r="E42" s="20"/>
      <c r="F42" s="20"/>
      <c r="G42" s="21"/>
      <c r="H42" s="24" t="s">
        <v>129</v>
      </c>
      <c r="I42" s="20"/>
      <c r="J42" s="21"/>
      <c r="K42" s="25" t="s">
        <v>130</v>
      </c>
      <c r="L42" s="20"/>
      <c r="M42" s="20"/>
      <c r="N42" s="20"/>
      <c r="O42" s="20"/>
      <c r="P42" s="21"/>
    </row>
    <row r="43" ht="21.75" customHeight="1">
      <c r="A43" s="22" t="s">
        <v>131</v>
      </c>
      <c r="B43" s="20"/>
      <c r="C43" s="20"/>
      <c r="D43" s="20"/>
      <c r="E43" s="20"/>
      <c r="F43" s="20"/>
      <c r="G43" s="21"/>
      <c r="H43" s="22" t="s">
        <v>65</v>
      </c>
      <c r="I43" s="20"/>
      <c r="J43" s="21"/>
      <c r="K43" s="23" t="s">
        <v>132</v>
      </c>
      <c r="L43" s="20"/>
      <c r="M43" s="20"/>
      <c r="N43" s="20"/>
      <c r="O43" s="20"/>
      <c r="P43" s="2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A18:G18"/>
    <mergeCell ref="H18:J18"/>
    <mergeCell ref="K18:P18"/>
    <mergeCell ref="A19:G19"/>
    <mergeCell ref="H19:J19"/>
    <mergeCell ref="K19:P19"/>
    <mergeCell ref="A21:P21"/>
    <mergeCell ref="A22:P22"/>
    <mergeCell ref="A23:G23"/>
    <mergeCell ref="H23:J23"/>
    <mergeCell ref="K23:P23"/>
    <mergeCell ref="A24:G24"/>
    <mergeCell ref="H24:J24"/>
    <mergeCell ref="K24:P24"/>
    <mergeCell ref="M29:M30"/>
    <mergeCell ref="N29:O29"/>
    <mergeCell ref="A28:P28"/>
    <mergeCell ref="A29:A30"/>
    <mergeCell ref="B29:B30"/>
    <mergeCell ref="C29:C30"/>
    <mergeCell ref="D29:D30"/>
    <mergeCell ref="E29:F29"/>
    <mergeCell ref="G29:H29"/>
    <mergeCell ref="A41:G41"/>
    <mergeCell ref="A42:G42"/>
    <mergeCell ref="H42:J42"/>
    <mergeCell ref="K42:P42"/>
    <mergeCell ref="A43:G43"/>
    <mergeCell ref="H43:J43"/>
    <mergeCell ref="K43:P43"/>
    <mergeCell ref="P29:P30"/>
    <mergeCell ref="A39:P39"/>
    <mergeCell ref="A40:G40"/>
    <mergeCell ref="H40:J40"/>
    <mergeCell ref="K40:P40"/>
    <mergeCell ref="H41:J41"/>
    <mergeCell ref="K41:P41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I29:J29"/>
    <mergeCell ref="K29:L2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133</v>
      </c>
    </row>
    <row r="2" ht="31.5" customHeight="1">
      <c r="A2" s="14" t="s">
        <v>134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135</v>
      </c>
      <c r="B7" s="20"/>
      <c r="C7" s="20"/>
      <c r="D7" s="20"/>
      <c r="E7" s="20"/>
      <c r="F7" s="20"/>
      <c r="G7" s="21"/>
      <c r="H7" s="24" t="s">
        <v>136</v>
      </c>
      <c r="I7" s="20"/>
      <c r="J7" s="21"/>
      <c r="K7" s="25" t="s">
        <v>137</v>
      </c>
      <c r="L7" s="20"/>
      <c r="M7" s="20"/>
      <c r="N7" s="20"/>
      <c r="O7" s="20"/>
      <c r="P7" s="21"/>
    </row>
    <row r="8" ht="18.0" customHeight="1">
      <c r="A8" s="22" t="s">
        <v>51</v>
      </c>
      <c r="B8" s="20"/>
      <c r="C8" s="20"/>
      <c r="D8" s="20"/>
      <c r="E8" s="20"/>
      <c r="F8" s="20"/>
      <c r="G8" s="21"/>
      <c r="H8" s="22" t="s">
        <v>52</v>
      </c>
      <c r="I8" s="20"/>
      <c r="J8" s="21"/>
      <c r="K8" s="23" t="s">
        <v>53</v>
      </c>
      <c r="L8" s="20"/>
      <c r="M8" s="20"/>
      <c r="N8" s="20"/>
      <c r="O8" s="20"/>
      <c r="P8" s="21"/>
    </row>
    <row r="9" ht="18.0" customHeight="1">
      <c r="A9" s="24" t="s">
        <v>138</v>
      </c>
      <c r="B9" s="20"/>
      <c r="C9" s="20"/>
      <c r="D9" s="20"/>
      <c r="E9" s="20"/>
      <c r="F9" s="20"/>
      <c r="G9" s="21"/>
      <c r="H9" s="24" t="s">
        <v>49</v>
      </c>
      <c r="I9" s="20"/>
      <c r="J9" s="21"/>
      <c r="K9" s="25" t="s">
        <v>139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92</v>
      </c>
      <c r="F29" s="21"/>
      <c r="G29" s="31" t="s">
        <v>93</v>
      </c>
      <c r="H29" s="21"/>
      <c r="I29" s="31" t="s">
        <v>94</v>
      </c>
      <c r="J29" s="21"/>
      <c r="K29" s="31" t="s">
        <v>95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141</v>
      </c>
      <c r="B31" s="34" t="s">
        <v>142</v>
      </c>
      <c r="C31" s="34" t="s">
        <v>143</v>
      </c>
      <c r="D31" s="35" t="s">
        <v>144</v>
      </c>
      <c r="E31" s="41">
        <v>135.0</v>
      </c>
      <c r="F31" s="42">
        <v>5.0</v>
      </c>
      <c r="G31" s="36"/>
      <c r="H31" s="37"/>
      <c r="I31" s="36"/>
      <c r="J31" s="37"/>
      <c r="K31" s="36"/>
      <c r="L31" s="37"/>
      <c r="M31" s="38" t="s">
        <v>145</v>
      </c>
      <c r="N31" s="39" t="str">
        <f>IF(OR(NOT(ISNUMBER(K31)),K31=0),"",ROUND(K31*(1+Settings!$B$6),0))</f>
        <v/>
      </c>
      <c r="O31" s="39" t="str">
        <f>IF(OR(NOT(ISNUMBER(K31)),K31=0),"",ROUND(K31*(1+Settings!$C$6),0))</f>
        <v/>
      </c>
      <c r="P31" s="40" t="s">
        <v>7</v>
      </c>
    </row>
    <row r="32" ht="36.0" customHeight="1">
      <c r="A32" s="33" t="s">
        <v>146</v>
      </c>
      <c r="B32" s="34" t="s">
        <v>142</v>
      </c>
      <c r="C32" s="34" t="s">
        <v>147</v>
      </c>
      <c r="D32" s="35" t="s">
        <v>148</v>
      </c>
      <c r="E32" s="36"/>
      <c r="F32" s="37"/>
      <c r="G32" s="36"/>
      <c r="H32" s="37"/>
      <c r="I32" s="36"/>
      <c r="J32" s="37"/>
      <c r="K32" s="36"/>
      <c r="L32" s="37"/>
      <c r="M32" s="38" t="s">
        <v>149</v>
      </c>
      <c r="N32" s="39" t="str">
        <f>IF(OR(NOT(ISNUMBER(K32)),K32=0),"",ROUND(K32*(1+Settings!$B$6),0))</f>
        <v/>
      </c>
      <c r="O32" s="39" t="str">
        <f>IF(OR(NOT(ISNUMBER(K32)),K32=0),"",ROUND(K32*(1+Settings!$C$6),0))</f>
        <v/>
      </c>
      <c r="P32" s="40" t="s">
        <v>7</v>
      </c>
    </row>
    <row r="33" ht="36.0" customHeight="1">
      <c r="A33" s="33" t="s">
        <v>150</v>
      </c>
      <c r="B33" s="34" t="s">
        <v>142</v>
      </c>
      <c r="C33" s="34" t="s">
        <v>151</v>
      </c>
      <c r="D33" s="35" t="s">
        <v>152</v>
      </c>
      <c r="E33" s="36"/>
      <c r="F33" s="37"/>
      <c r="G33" s="36"/>
      <c r="H33" s="37"/>
      <c r="I33" s="36"/>
      <c r="J33" s="37"/>
      <c r="K33" s="36"/>
      <c r="L33" s="37"/>
      <c r="M33" s="38" t="s">
        <v>153</v>
      </c>
      <c r="N33" s="34" t="s">
        <v>118</v>
      </c>
      <c r="O33" s="34" t="s">
        <v>118</v>
      </c>
      <c r="P33" s="40" t="s">
        <v>9</v>
      </c>
    </row>
    <row r="34" ht="36.0" customHeight="1">
      <c r="A34" s="33" t="s">
        <v>154</v>
      </c>
      <c r="B34" s="34" t="s">
        <v>102</v>
      </c>
      <c r="C34" s="34" t="s">
        <v>52</v>
      </c>
      <c r="D34" s="35" t="s">
        <v>155</v>
      </c>
      <c r="E34" s="36"/>
      <c r="F34" s="37"/>
      <c r="G34" s="36"/>
      <c r="H34" s="37"/>
      <c r="I34" s="36"/>
      <c r="J34" s="37"/>
      <c r="K34" s="36"/>
      <c r="L34" s="37"/>
      <c r="M34" s="38" t="s">
        <v>156</v>
      </c>
      <c r="N34" s="39" t="str">
        <f>IF(OR(NOT(ISNUMBER(K34)),K34=0),"",ROUND(K34*(1+Settings!$B$8),0))</f>
        <v/>
      </c>
      <c r="O34" s="39" t="str">
        <f>IF(OR(NOT(ISNUMBER(K34)),K34=0),"",ROUND(K34*(1+Settings!$C$8),0))</f>
        <v/>
      </c>
      <c r="P34" s="40" t="s">
        <v>11</v>
      </c>
    </row>
    <row r="35" ht="36.0" customHeight="1">
      <c r="A35" s="33" t="s">
        <v>157</v>
      </c>
      <c r="B35" s="34" t="s">
        <v>102</v>
      </c>
      <c r="C35" s="34" t="s">
        <v>158</v>
      </c>
      <c r="D35" s="35" t="s">
        <v>159</v>
      </c>
      <c r="E35" s="36"/>
      <c r="F35" s="37"/>
      <c r="G35" s="36"/>
      <c r="H35" s="37"/>
      <c r="I35" s="36"/>
      <c r="J35" s="37"/>
      <c r="K35" s="36"/>
      <c r="L35" s="37"/>
      <c r="M35" s="38" t="s">
        <v>160</v>
      </c>
      <c r="N35" s="39" t="str">
        <f>IF(OR(NOT(ISNUMBER(K35)),K35=0),"",ROUND(K35*(1+Settings!$B$8),0))</f>
        <v/>
      </c>
      <c r="O35" s="39" t="str">
        <f>IF(OR(NOT(ISNUMBER(K35)),K35=0),"",ROUND(K35*(1+Settings!$C$8),0))</f>
        <v/>
      </c>
      <c r="P35" s="40" t="s">
        <v>11</v>
      </c>
    </row>
    <row r="36" ht="36.0" customHeight="1">
      <c r="A36" s="33" t="s">
        <v>161</v>
      </c>
      <c r="B36" s="34" t="s">
        <v>102</v>
      </c>
      <c r="C36" s="34" t="s">
        <v>162</v>
      </c>
      <c r="D36" s="35" t="s">
        <v>163</v>
      </c>
      <c r="E36" s="36"/>
      <c r="F36" s="37"/>
      <c r="G36" s="36"/>
      <c r="H36" s="37"/>
      <c r="I36" s="36"/>
      <c r="J36" s="37"/>
      <c r="K36" s="36"/>
      <c r="L36" s="37"/>
      <c r="M36" s="38" t="s">
        <v>164</v>
      </c>
      <c r="N36" s="34" t="s">
        <v>118</v>
      </c>
      <c r="O36" s="34" t="s">
        <v>118</v>
      </c>
      <c r="P36" s="40" t="s">
        <v>17</v>
      </c>
    </row>
    <row r="37" ht="15.75" customHeight="1"/>
    <row r="38" ht="15.75" customHeight="1"/>
    <row r="39" ht="21.75" customHeight="1">
      <c r="A39" s="15" t="s">
        <v>123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ht="18.0" customHeight="1">
      <c r="A40" s="19" t="s">
        <v>39</v>
      </c>
      <c r="B40" s="20"/>
      <c r="C40" s="20"/>
      <c r="D40" s="20"/>
      <c r="E40" s="20"/>
      <c r="F40" s="20"/>
      <c r="G40" s="21"/>
      <c r="H40" s="19" t="s">
        <v>40</v>
      </c>
      <c r="I40" s="20"/>
      <c r="J40" s="21"/>
      <c r="K40" s="19" t="s">
        <v>124</v>
      </c>
      <c r="L40" s="20"/>
      <c r="M40" s="20"/>
      <c r="N40" s="20"/>
      <c r="O40" s="20"/>
      <c r="P40" s="21"/>
    </row>
    <row r="41" ht="21.75" customHeight="1">
      <c r="A41" s="22" t="s">
        <v>165</v>
      </c>
      <c r="B41" s="20"/>
      <c r="C41" s="20"/>
      <c r="D41" s="20"/>
      <c r="E41" s="20"/>
      <c r="F41" s="20"/>
      <c r="G41" s="21"/>
      <c r="H41" s="22" t="s">
        <v>166</v>
      </c>
      <c r="I41" s="20"/>
      <c r="J41" s="21"/>
      <c r="K41" s="23" t="s">
        <v>167</v>
      </c>
      <c r="L41" s="20"/>
      <c r="M41" s="20"/>
      <c r="N41" s="20"/>
      <c r="O41" s="20"/>
      <c r="P41" s="21"/>
    </row>
    <row r="42" ht="21.75" customHeight="1">
      <c r="A42" s="24" t="s">
        <v>168</v>
      </c>
      <c r="B42" s="20"/>
      <c r="C42" s="20"/>
      <c r="D42" s="20"/>
      <c r="E42" s="20"/>
      <c r="F42" s="20"/>
      <c r="G42" s="21"/>
      <c r="H42" s="24" t="s">
        <v>169</v>
      </c>
      <c r="I42" s="20"/>
      <c r="J42" s="21"/>
      <c r="K42" s="25" t="s">
        <v>170</v>
      </c>
      <c r="L42" s="20"/>
      <c r="M42" s="20"/>
      <c r="N42" s="20"/>
      <c r="O42" s="20"/>
      <c r="P42" s="21"/>
    </row>
    <row r="43" ht="21.75" customHeight="1">
      <c r="A43" s="22" t="s">
        <v>171</v>
      </c>
      <c r="B43" s="20"/>
      <c r="C43" s="20"/>
      <c r="D43" s="20"/>
      <c r="E43" s="20"/>
      <c r="F43" s="20"/>
      <c r="G43" s="21"/>
      <c r="H43" s="22" t="s">
        <v>172</v>
      </c>
      <c r="I43" s="20"/>
      <c r="J43" s="21"/>
      <c r="K43" s="23" t="s">
        <v>173</v>
      </c>
      <c r="L43" s="20"/>
      <c r="M43" s="20"/>
      <c r="N43" s="20"/>
      <c r="O43" s="20"/>
      <c r="P43" s="2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G29:H29"/>
    <mergeCell ref="I29:J29"/>
    <mergeCell ref="K29:L29"/>
    <mergeCell ref="M29:M30"/>
    <mergeCell ref="N29:O29"/>
    <mergeCell ref="P29:P30"/>
    <mergeCell ref="A22:P22"/>
    <mergeCell ref="A28:P28"/>
    <mergeCell ref="A29:A30"/>
    <mergeCell ref="B29:B30"/>
    <mergeCell ref="C29:C30"/>
    <mergeCell ref="D29:D30"/>
    <mergeCell ref="E29:F29"/>
    <mergeCell ref="A42:G42"/>
    <mergeCell ref="H42:J42"/>
    <mergeCell ref="K42:P42"/>
    <mergeCell ref="A43:G43"/>
    <mergeCell ref="H43:J43"/>
    <mergeCell ref="K43:P43"/>
    <mergeCell ref="A39:P39"/>
    <mergeCell ref="A40:G40"/>
    <mergeCell ref="H40:J40"/>
    <mergeCell ref="K40:P40"/>
    <mergeCell ref="A41:G41"/>
    <mergeCell ref="H41:J41"/>
    <mergeCell ref="K41:P41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A18:G18"/>
    <mergeCell ref="H18:J18"/>
    <mergeCell ref="K18:P18"/>
    <mergeCell ref="A19:G19"/>
    <mergeCell ref="H19:J19"/>
    <mergeCell ref="K19:P19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174</v>
      </c>
    </row>
    <row r="2" ht="31.5" customHeight="1">
      <c r="A2" s="14" t="s">
        <v>175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45</v>
      </c>
      <c r="B7" s="20"/>
      <c r="C7" s="20"/>
      <c r="D7" s="20"/>
      <c r="E7" s="20"/>
      <c r="F7" s="20"/>
      <c r="G7" s="21"/>
      <c r="H7" s="24" t="s">
        <v>46</v>
      </c>
      <c r="I7" s="20"/>
      <c r="J7" s="21"/>
      <c r="K7" s="25" t="s">
        <v>47</v>
      </c>
      <c r="L7" s="20"/>
      <c r="M7" s="20"/>
      <c r="N7" s="20"/>
      <c r="O7" s="20"/>
      <c r="P7" s="21"/>
    </row>
    <row r="8" ht="18.0" customHeight="1">
      <c r="A8" s="22" t="s">
        <v>176</v>
      </c>
      <c r="B8" s="20"/>
      <c r="C8" s="20"/>
      <c r="D8" s="20"/>
      <c r="E8" s="20"/>
      <c r="F8" s="20"/>
      <c r="G8" s="21"/>
      <c r="H8" s="22" t="s">
        <v>65</v>
      </c>
      <c r="I8" s="20"/>
      <c r="J8" s="21"/>
      <c r="K8" s="23" t="s">
        <v>177</v>
      </c>
      <c r="L8" s="20"/>
      <c r="M8" s="20"/>
      <c r="N8" s="20"/>
      <c r="O8" s="20"/>
      <c r="P8" s="21"/>
    </row>
    <row r="9" ht="18.0" customHeight="1">
      <c r="A9" s="24" t="s">
        <v>178</v>
      </c>
      <c r="B9" s="20"/>
      <c r="C9" s="20"/>
      <c r="D9" s="20"/>
      <c r="E9" s="20"/>
      <c r="F9" s="20"/>
      <c r="G9" s="21"/>
      <c r="H9" s="24" t="s">
        <v>179</v>
      </c>
      <c r="I9" s="20"/>
      <c r="J9" s="21"/>
      <c r="K9" s="25" t="s">
        <v>180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7" t="s">
        <v>181</v>
      </c>
    </row>
    <row r="23" ht="18.0" customHeight="1">
      <c r="A23" s="19" t="s">
        <v>83</v>
      </c>
      <c r="B23" s="20"/>
      <c r="C23" s="20"/>
      <c r="D23" s="20"/>
      <c r="E23" s="20"/>
      <c r="F23" s="20"/>
      <c r="G23" s="21"/>
      <c r="H23" s="19" t="s">
        <v>40</v>
      </c>
      <c r="I23" s="20"/>
      <c r="J23" s="21"/>
      <c r="K23" s="19" t="s">
        <v>41</v>
      </c>
      <c r="L23" s="20"/>
      <c r="M23" s="20"/>
      <c r="N23" s="20"/>
      <c r="O23" s="20"/>
      <c r="P23" s="21"/>
    </row>
    <row r="24" ht="21.75" customHeight="1">
      <c r="A24" s="28" t="s">
        <v>182</v>
      </c>
      <c r="B24" s="20"/>
      <c r="C24" s="20"/>
      <c r="D24" s="20"/>
      <c r="E24" s="20"/>
      <c r="F24" s="20"/>
      <c r="G24" s="21"/>
      <c r="H24" s="22" t="s">
        <v>183</v>
      </c>
      <c r="I24" s="20"/>
      <c r="J24" s="21"/>
      <c r="K24" s="23" t="s">
        <v>184</v>
      </c>
      <c r="L24" s="20"/>
      <c r="M24" s="20"/>
      <c r="N24" s="20"/>
      <c r="O24" s="20"/>
      <c r="P24" s="21"/>
    </row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92</v>
      </c>
      <c r="F29" s="21"/>
      <c r="G29" s="31" t="s">
        <v>93</v>
      </c>
      <c r="H29" s="21"/>
      <c r="I29" s="31" t="s">
        <v>94</v>
      </c>
      <c r="J29" s="21"/>
      <c r="K29" s="31" t="s">
        <v>95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185</v>
      </c>
      <c r="B31" s="34" t="s">
        <v>102</v>
      </c>
      <c r="C31" s="34" t="s">
        <v>106</v>
      </c>
      <c r="D31" s="35" t="s">
        <v>103</v>
      </c>
      <c r="E31" s="41">
        <v>14.0</v>
      </c>
      <c r="F31" s="42">
        <v>6.0</v>
      </c>
      <c r="G31" s="36"/>
      <c r="H31" s="37"/>
      <c r="I31" s="36"/>
      <c r="J31" s="37"/>
      <c r="K31" s="36"/>
      <c r="L31" s="37"/>
      <c r="M31" s="38" t="s">
        <v>186</v>
      </c>
      <c r="N31" s="39" t="str">
        <f>IF(OR(NOT(ISNUMBER(K31)),K31=0),"",ROUND(K31*(1+Settings!$B$9),0))</f>
        <v/>
      </c>
      <c r="O31" s="39" t="str">
        <f>IF(OR(NOT(ISNUMBER(K31)),K31=0),"",ROUND(K31*(1+Settings!$C$9),0))</f>
        <v/>
      </c>
      <c r="P31" s="40" t="s">
        <v>13</v>
      </c>
    </row>
    <row r="32" ht="36.0" customHeight="1">
      <c r="A32" s="33" t="s">
        <v>187</v>
      </c>
      <c r="B32" s="34" t="s">
        <v>102</v>
      </c>
      <c r="C32" s="34" t="s">
        <v>106</v>
      </c>
      <c r="D32" s="35" t="s">
        <v>188</v>
      </c>
      <c r="E32" s="41">
        <v>34.0</v>
      </c>
      <c r="F32" s="42">
        <v>6.0</v>
      </c>
      <c r="G32" s="36"/>
      <c r="H32" s="37"/>
      <c r="I32" s="36"/>
      <c r="J32" s="37"/>
      <c r="K32" s="36"/>
      <c r="L32" s="37"/>
      <c r="M32" s="38" t="s">
        <v>189</v>
      </c>
      <c r="N32" s="39" t="str">
        <f>IF(OR(NOT(ISNUMBER(K32)),K32=0),"",ROUND(K32*(1+Settings!$B$7),0))</f>
        <v/>
      </c>
      <c r="O32" s="39" t="str">
        <f>IF(OR(NOT(ISNUMBER(K32)),K32=0),"",ROUND(K32*(1+Settings!$C$7),0))</f>
        <v/>
      </c>
      <c r="P32" s="40" t="s">
        <v>9</v>
      </c>
    </row>
    <row r="33" ht="36.0" customHeight="1">
      <c r="A33" s="33" t="s">
        <v>190</v>
      </c>
      <c r="B33" s="34" t="s">
        <v>102</v>
      </c>
      <c r="C33" s="34" t="s">
        <v>120</v>
      </c>
      <c r="D33" s="35" t="s">
        <v>191</v>
      </c>
      <c r="E33" s="41">
        <v>50.0</v>
      </c>
      <c r="F33" s="42">
        <v>6.0</v>
      </c>
      <c r="G33" s="36"/>
      <c r="H33" s="37"/>
      <c r="I33" s="36"/>
      <c r="J33" s="37"/>
      <c r="K33" s="36"/>
      <c r="L33" s="37"/>
      <c r="M33" s="38" t="s">
        <v>192</v>
      </c>
      <c r="N33" s="39" t="str">
        <f>IF(OR(NOT(ISNUMBER(K33)),K33=0),"",ROUND(K33*(1+Settings!$B$7),0))</f>
        <v/>
      </c>
      <c r="O33" s="39" t="str">
        <f>IF(OR(NOT(ISNUMBER(K33)),K33=0),"",ROUND(K33*(1+Settings!$C$7),0))</f>
        <v/>
      </c>
      <c r="P33" s="40" t="s">
        <v>9</v>
      </c>
    </row>
    <row r="34" ht="36.0" customHeight="1">
      <c r="A34" s="33" t="s">
        <v>193</v>
      </c>
      <c r="B34" s="34" t="s">
        <v>102</v>
      </c>
      <c r="C34" s="34" t="s">
        <v>52</v>
      </c>
      <c r="D34" s="35" t="s">
        <v>155</v>
      </c>
      <c r="E34" s="41">
        <v>25.0</v>
      </c>
      <c r="F34" s="42">
        <v>7.0</v>
      </c>
      <c r="G34" s="36"/>
      <c r="H34" s="37"/>
      <c r="I34" s="36"/>
      <c r="J34" s="37"/>
      <c r="K34" s="36"/>
      <c r="L34" s="37"/>
      <c r="M34" s="38" t="s">
        <v>194</v>
      </c>
      <c r="N34" s="39" t="str">
        <f>IF(OR(NOT(ISNUMBER(K34)),K34=0),"",ROUND(K34*(1+Settings!$B$8),0))</f>
        <v/>
      </c>
      <c r="O34" s="39" t="str">
        <f>IF(OR(NOT(ISNUMBER(K34)),K34=0),"",ROUND(K34*(1+Settings!$C$8),0))</f>
        <v/>
      </c>
      <c r="P34" s="40" t="s">
        <v>11</v>
      </c>
    </row>
    <row r="35" ht="36.0" customHeight="1">
      <c r="A35" s="33" t="s">
        <v>195</v>
      </c>
      <c r="B35" s="34" t="s">
        <v>196</v>
      </c>
      <c r="C35" s="34" t="s">
        <v>197</v>
      </c>
      <c r="D35" s="35" t="s">
        <v>198</v>
      </c>
      <c r="E35" s="36"/>
      <c r="F35" s="37"/>
      <c r="G35" s="36"/>
      <c r="H35" s="37"/>
      <c r="I35" s="36"/>
      <c r="J35" s="37"/>
      <c r="K35" s="36"/>
      <c r="L35" s="37"/>
      <c r="M35" s="38" t="s">
        <v>199</v>
      </c>
      <c r="N35" s="34" t="s">
        <v>118</v>
      </c>
      <c r="O35" s="34" t="s">
        <v>118</v>
      </c>
      <c r="P35" s="40" t="s">
        <v>15</v>
      </c>
    </row>
    <row r="36" ht="36.0" customHeight="1">
      <c r="A36" s="33" t="s">
        <v>200</v>
      </c>
      <c r="B36" s="34" t="s">
        <v>102</v>
      </c>
      <c r="C36" s="34" t="s">
        <v>201</v>
      </c>
      <c r="D36" s="35" t="s">
        <v>163</v>
      </c>
      <c r="E36" s="36"/>
      <c r="F36" s="42">
        <v>6.0</v>
      </c>
      <c r="G36" s="36"/>
      <c r="H36" s="37"/>
      <c r="I36" s="36"/>
      <c r="J36" s="37"/>
      <c r="K36" s="36"/>
      <c r="L36" s="37"/>
      <c r="M36" s="38" t="s">
        <v>202</v>
      </c>
      <c r="N36" s="34" t="s">
        <v>118</v>
      </c>
      <c r="O36" s="34" t="s">
        <v>118</v>
      </c>
      <c r="P36" s="40" t="s">
        <v>17</v>
      </c>
    </row>
    <row r="37" ht="15.75" customHeight="1"/>
    <row r="38" ht="15.75" customHeight="1"/>
    <row r="39" ht="21.75" customHeight="1">
      <c r="A39" s="15" t="s">
        <v>123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ht="18.0" customHeight="1">
      <c r="A40" s="19" t="s">
        <v>39</v>
      </c>
      <c r="B40" s="20"/>
      <c r="C40" s="20"/>
      <c r="D40" s="20"/>
      <c r="E40" s="20"/>
      <c r="F40" s="20"/>
      <c r="G40" s="21"/>
      <c r="H40" s="19" t="s">
        <v>40</v>
      </c>
      <c r="I40" s="20"/>
      <c r="J40" s="21"/>
      <c r="K40" s="19" t="s">
        <v>124</v>
      </c>
      <c r="L40" s="20"/>
      <c r="M40" s="20"/>
      <c r="N40" s="20"/>
      <c r="O40" s="20"/>
      <c r="P40" s="21"/>
    </row>
    <row r="41" ht="21.75" customHeight="1">
      <c r="A41" s="22" t="s">
        <v>125</v>
      </c>
      <c r="B41" s="20"/>
      <c r="C41" s="20"/>
      <c r="D41" s="20"/>
      <c r="E41" s="20"/>
      <c r="F41" s="20"/>
      <c r="G41" s="21"/>
      <c r="H41" s="22" t="s">
        <v>126</v>
      </c>
      <c r="I41" s="20"/>
      <c r="J41" s="21"/>
      <c r="K41" s="23" t="s">
        <v>203</v>
      </c>
      <c r="L41" s="20"/>
      <c r="M41" s="20"/>
      <c r="N41" s="20"/>
      <c r="O41" s="20"/>
      <c r="P41" s="21"/>
    </row>
    <row r="42" ht="21.75" customHeight="1">
      <c r="A42" s="24" t="s">
        <v>204</v>
      </c>
      <c r="B42" s="20"/>
      <c r="C42" s="20"/>
      <c r="D42" s="20"/>
      <c r="E42" s="20"/>
      <c r="F42" s="20"/>
      <c r="G42" s="21"/>
      <c r="H42" s="24" t="s">
        <v>205</v>
      </c>
      <c r="I42" s="20"/>
      <c r="J42" s="21"/>
      <c r="K42" s="25" t="s">
        <v>206</v>
      </c>
      <c r="L42" s="20"/>
      <c r="M42" s="20"/>
      <c r="N42" s="20"/>
      <c r="O42" s="20"/>
      <c r="P42" s="21"/>
    </row>
    <row r="43" ht="21.75" customHeight="1">
      <c r="A43" s="22" t="s">
        <v>207</v>
      </c>
      <c r="B43" s="20"/>
      <c r="C43" s="20"/>
      <c r="D43" s="20"/>
      <c r="E43" s="20"/>
      <c r="F43" s="20"/>
      <c r="G43" s="21"/>
      <c r="H43" s="22" t="s">
        <v>169</v>
      </c>
      <c r="I43" s="20"/>
      <c r="J43" s="21"/>
      <c r="K43" s="23" t="s">
        <v>208</v>
      </c>
      <c r="L43" s="20"/>
      <c r="M43" s="20"/>
      <c r="N43" s="20"/>
      <c r="O43" s="20"/>
      <c r="P43" s="2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A18:G18"/>
    <mergeCell ref="H18:J18"/>
    <mergeCell ref="K18:P18"/>
    <mergeCell ref="A19:G19"/>
    <mergeCell ref="H19:J19"/>
    <mergeCell ref="K19:P19"/>
    <mergeCell ref="A21:P21"/>
    <mergeCell ref="A22:P22"/>
    <mergeCell ref="A23:G23"/>
    <mergeCell ref="H23:J23"/>
    <mergeCell ref="K23:P23"/>
    <mergeCell ref="A24:G24"/>
    <mergeCell ref="H24:J24"/>
    <mergeCell ref="K24:P24"/>
    <mergeCell ref="M29:M30"/>
    <mergeCell ref="N29:O29"/>
    <mergeCell ref="A28:P28"/>
    <mergeCell ref="A29:A30"/>
    <mergeCell ref="B29:B30"/>
    <mergeCell ref="C29:C30"/>
    <mergeCell ref="D29:D30"/>
    <mergeCell ref="E29:F29"/>
    <mergeCell ref="G29:H29"/>
    <mergeCell ref="A41:G41"/>
    <mergeCell ref="A42:G42"/>
    <mergeCell ref="H42:J42"/>
    <mergeCell ref="K42:P42"/>
    <mergeCell ref="A43:G43"/>
    <mergeCell ref="H43:J43"/>
    <mergeCell ref="K43:P43"/>
    <mergeCell ref="P29:P30"/>
    <mergeCell ref="A39:P39"/>
    <mergeCell ref="A40:G40"/>
    <mergeCell ref="H40:J40"/>
    <mergeCell ref="K40:P40"/>
    <mergeCell ref="H41:J41"/>
    <mergeCell ref="K41:P41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I29:J29"/>
    <mergeCell ref="K29:L2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209</v>
      </c>
    </row>
    <row r="2" ht="31.5" customHeight="1">
      <c r="A2" s="14" t="s">
        <v>210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48</v>
      </c>
      <c r="B7" s="20"/>
      <c r="C7" s="20"/>
      <c r="D7" s="20"/>
      <c r="E7" s="20"/>
      <c r="F7" s="20"/>
      <c r="G7" s="21"/>
      <c r="H7" s="24" t="s">
        <v>49</v>
      </c>
      <c r="I7" s="20"/>
      <c r="J7" s="21"/>
      <c r="K7" s="25" t="s">
        <v>50</v>
      </c>
      <c r="L7" s="20"/>
      <c r="M7" s="20"/>
      <c r="N7" s="20"/>
      <c r="O7" s="20"/>
      <c r="P7" s="21"/>
    </row>
    <row r="8" ht="18.0" customHeight="1">
      <c r="A8" s="22" t="s">
        <v>211</v>
      </c>
      <c r="B8" s="20"/>
      <c r="C8" s="20"/>
      <c r="D8" s="20"/>
      <c r="E8" s="20"/>
      <c r="F8" s="20"/>
      <c r="G8" s="21"/>
      <c r="H8" s="22" t="s">
        <v>120</v>
      </c>
      <c r="I8" s="20"/>
      <c r="J8" s="21"/>
      <c r="K8" s="23" t="s">
        <v>212</v>
      </c>
      <c r="L8" s="20"/>
      <c r="M8" s="20"/>
      <c r="N8" s="20"/>
      <c r="O8" s="20"/>
      <c r="P8" s="21"/>
    </row>
    <row r="9" ht="18.0" customHeight="1">
      <c r="A9" s="24" t="s">
        <v>138</v>
      </c>
      <c r="B9" s="20"/>
      <c r="C9" s="20"/>
      <c r="D9" s="20"/>
      <c r="E9" s="20"/>
      <c r="F9" s="20"/>
      <c r="G9" s="21"/>
      <c r="H9" s="24" t="s">
        <v>49</v>
      </c>
      <c r="I9" s="20"/>
      <c r="J9" s="21"/>
      <c r="K9" s="25" t="s">
        <v>139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92</v>
      </c>
      <c r="F29" s="21"/>
      <c r="G29" s="31" t="s">
        <v>93</v>
      </c>
      <c r="H29" s="21"/>
      <c r="I29" s="31" t="s">
        <v>94</v>
      </c>
      <c r="J29" s="21"/>
      <c r="K29" s="31" t="s">
        <v>95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213</v>
      </c>
      <c r="B31" s="34" t="s">
        <v>142</v>
      </c>
      <c r="C31" s="34" t="s">
        <v>214</v>
      </c>
      <c r="D31" s="35" t="s">
        <v>215</v>
      </c>
      <c r="E31" s="36"/>
      <c r="F31" s="37"/>
      <c r="G31" s="36"/>
      <c r="H31" s="37"/>
      <c r="I31" s="36"/>
      <c r="J31" s="37"/>
      <c r="K31" s="36"/>
      <c r="L31" s="37"/>
      <c r="M31" s="38" t="s">
        <v>216</v>
      </c>
      <c r="N31" s="39" t="str">
        <f>IF(OR(NOT(ISNUMBER(K31)),K31=0),"",ROUND(K31*(1+Settings!$B$6),0))</f>
        <v/>
      </c>
      <c r="O31" s="39" t="str">
        <f>IF(OR(NOT(ISNUMBER(K31)),K31=0),"",ROUND(K31*(1+Settings!$C$6),0))</f>
        <v/>
      </c>
      <c r="P31" s="40" t="s">
        <v>7</v>
      </c>
    </row>
    <row r="32" ht="36.0" customHeight="1">
      <c r="A32" s="33" t="s">
        <v>217</v>
      </c>
      <c r="B32" s="34" t="s">
        <v>142</v>
      </c>
      <c r="C32" s="34" t="s">
        <v>218</v>
      </c>
      <c r="D32" s="35" t="s">
        <v>219</v>
      </c>
      <c r="E32" s="36"/>
      <c r="F32" s="37"/>
      <c r="G32" s="36"/>
      <c r="H32" s="37"/>
      <c r="I32" s="36"/>
      <c r="J32" s="37"/>
      <c r="K32" s="36"/>
      <c r="L32" s="37"/>
      <c r="M32" s="38" t="s">
        <v>220</v>
      </c>
      <c r="N32" s="39" t="str">
        <f>IF(OR(NOT(ISNUMBER(K32)),K32=0),"",ROUND(K32*(1+Settings!$B$7),0))</f>
        <v/>
      </c>
      <c r="O32" s="39" t="str">
        <f>IF(OR(NOT(ISNUMBER(K32)),K32=0),"",ROUND(K32*(1+Settings!$C$7),0))</f>
        <v/>
      </c>
      <c r="P32" s="40" t="s">
        <v>9</v>
      </c>
    </row>
    <row r="33" ht="36.0" customHeight="1">
      <c r="A33" s="33" t="s">
        <v>221</v>
      </c>
      <c r="B33" s="34" t="s">
        <v>142</v>
      </c>
      <c r="C33" s="34" t="s">
        <v>106</v>
      </c>
      <c r="D33" s="35" t="s">
        <v>148</v>
      </c>
      <c r="E33" s="36"/>
      <c r="F33" s="37"/>
      <c r="G33" s="36"/>
      <c r="H33" s="37"/>
      <c r="I33" s="36"/>
      <c r="J33" s="37"/>
      <c r="K33" s="36"/>
      <c r="L33" s="37"/>
      <c r="M33" s="38" t="s">
        <v>222</v>
      </c>
      <c r="N33" s="39" t="str">
        <f>IF(OR(NOT(ISNUMBER(K33)),K33=0),"",ROUND(K33*(1+Settings!$B$7),0))</f>
        <v/>
      </c>
      <c r="O33" s="39" t="str">
        <f>IF(OR(NOT(ISNUMBER(K33)),K33=0),"",ROUND(K33*(1+Settings!$C$7),0))</f>
        <v/>
      </c>
      <c r="P33" s="40" t="s">
        <v>9</v>
      </c>
    </row>
    <row r="34" ht="36.0" customHeight="1">
      <c r="A34" s="33" t="s">
        <v>223</v>
      </c>
      <c r="B34" s="34" t="s">
        <v>102</v>
      </c>
      <c r="C34" s="34" t="s">
        <v>52</v>
      </c>
      <c r="D34" s="35" t="s">
        <v>224</v>
      </c>
      <c r="E34" s="36"/>
      <c r="F34" s="37"/>
      <c r="G34" s="36"/>
      <c r="H34" s="37"/>
      <c r="I34" s="36"/>
      <c r="J34" s="37"/>
      <c r="K34" s="36"/>
      <c r="L34" s="37"/>
      <c r="M34" s="38" t="s">
        <v>225</v>
      </c>
      <c r="N34" s="39" t="str">
        <f>IF(OR(NOT(ISNUMBER(K34)),K34=0),"",ROUND(K34*(1+Settings!$B$8),0))</f>
        <v/>
      </c>
      <c r="O34" s="39" t="str">
        <f>IF(OR(NOT(ISNUMBER(K34)),K34=0),"",ROUND(K34*(1+Settings!$C$8),0))</f>
        <v/>
      </c>
      <c r="P34" s="40" t="s">
        <v>11</v>
      </c>
    </row>
    <row r="35" ht="36.0" customHeight="1">
      <c r="A35" s="33" t="s">
        <v>226</v>
      </c>
      <c r="B35" s="34" t="s">
        <v>102</v>
      </c>
      <c r="C35" s="34" t="s">
        <v>201</v>
      </c>
      <c r="D35" s="35" t="s">
        <v>121</v>
      </c>
      <c r="E35" s="36"/>
      <c r="F35" s="37"/>
      <c r="G35" s="36"/>
      <c r="H35" s="37"/>
      <c r="I35" s="36"/>
      <c r="J35" s="37"/>
      <c r="K35" s="36"/>
      <c r="L35" s="37"/>
      <c r="M35" s="38" t="s">
        <v>227</v>
      </c>
      <c r="N35" s="39" t="str">
        <f>IF(OR(NOT(ISNUMBER(K35)),K35=0),"",ROUND(K35*(1+Settings!$B$11),0))</f>
        <v/>
      </c>
      <c r="O35" s="39" t="str">
        <f>IF(OR(NOT(ISNUMBER(K35)),K35=0),"",ROUND(K35*(1+Settings!$C$11),0))</f>
        <v/>
      </c>
      <c r="P35" s="40" t="s">
        <v>17</v>
      </c>
    </row>
    <row r="36" ht="36.0" customHeight="1">
      <c r="A36" s="33" t="s">
        <v>228</v>
      </c>
      <c r="B36" s="34" t="s">
        <v>102</v>
      </c>
      <c r="C36" s="34" t="s">
        <v>229</v>
      </c>
      <c r="D36" s="35" t="s">
        <v>163</v>
      </c>
      <c r="E36" s="36"/>
      <c r="F36" s="37"/>
      <c r="G36" s="36"/>
      <c r="H36" s="37"/>
      <c r="I36" s="36"/>
      <c r="J36" s="37"/>
      <c r="K36" s="36"/>
      <c r="L36" s="37"/>
      <c r="M36" s="38" t="s">
        <v>230</v>
      </c>
      <c r="N36" s="34" t="s">
        <v>118</v>
      </c>
      <c r="O36" s="34" t="s">
        <v>118</v>
      </c>
      <c r="P36" s="40" t="s">
        <v>17</v>
      </c>
    </row>
    <row r="37" ht="15.75" customHeight="1"/>
    <row r="38" ht="15.75" customHeight="1"/>
    <row r="39" ht="21.75" customHeight="1">
      <c r="A39" s="15" t="s">
        <v>123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ht="18.0" customHeight="1">
      <c r="A40" s="19" t="s">
        <v>39</v>
      </c>
      <c r="B40" s="20"/>
      <c r="C40" s="20"/>
      <c r="D40" s="20"/>
      <c r="E40" s="20"/>
      <c r="F40" s="20"/>
      <c r="G40" s="21"/>
      <c r="H40" s="19" t="s">
        <v>40</v>
      </c>
      <c r="I40" s="20"/>
      <c r="J40" s="21"/>
      <c r="K40" s="19" t="s">
        <v>124</v>
      </c>
      <c r="L40" s="20"/>
      <c r="M40" s="20"/>
      <c r="N40" s="20"/>
      <c r="O40" s="20"/>
      <c r="P40" s="21"/>
    </row>
    <row r="41" ht="21.75" customHeight="1">
      <c r="A41" s="22" t="s">
        <v>165</v>
      </c>
      <c r="B41" s="20"/>
      <c r="C41" s="20"/>
      <c r="D41" s="20"/>
      <c r="E41" s="20"/>
      <c r="F41" s="20"/>
      <c r="G41" s="21"/>
      <c r="H41" s="22" t="s">
        <v>166</v>
      </c>
      <c r="I41" s="20"/>
      <c r="J41" s="21"/>
      <c r="K41" s="23" t="s">
        <v>231</v>
      </c>
      <c r="L41" s="20"/>
      <c r="M41" s="20"/>
      <c r="N41" s="20"/>
      <c r="O41" s="20"/>
      <c r="P41" s="21"/>
    </row>
    <row r="42" ht="21.75" customHeight="1">
      <c r="A42" s="24" t="s">
        <v>232</v>
      </c>
      <c r="B42" s="20"/>
      <c r="C42" s="20"/>
      <c r="D42" s="20"/>
      <c r="E42" s="20"/>
      <c r="F42" s="20"/>
      <c r="G42" s="21"/>
      <c r="H42" s="24" t="s">
        <v>233</v>
      </c>
      <c r="I42" s="20"/>
      <c r="J42" s="21"/>
      <c r="K42" s="25" t="s">
        <v>234</v>
      </c>
      <c r="L42" s="20"/>
      <c r="M42" s="20"/>
      <c r="N42" s="20"/>
      <c r="O42" s="20"/>
      <c r="P42" s="21"/>
    </row>
    <row r="43" ht="21.75" customHeight="1">
      <c r="A43" s="22" t="s">
        <v>131</v>
      </c>
      <c r="B43" s="20"/>
      <c r="C43" s="20"/>
      <c r="D43" s="20"/>
      <c r="E43" s="20"/>
      <c r="F43" s="20"/>
      <c r="G43" s="21"/>
      <c r="H43" s="22" t="s">
        <v>65</v>
      </c>
      <c r="I43" s="20"/>
      <c r="J43" s="21"/>
      <c r="K43" s="23" t="s">
        <v>235</v>
      </c>
      <c r="L43" s="20"/>
      <c r="M43" s="20"/>
      <c r="N43" s="20"/>
      <c r="O43" s="20"/>
      <c r="P43" s="2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G29:H29"/>
    <mergeCell ref="I29:J29"/>
    <mergeCell ref="K29:L29"/>
    <mergeCell ref="M29:M30"/>
    <mergeCell ref="N29:O29"/>
    <mergeCell ref="P29:P30"/>
    <mergeCell ref="A22:P22"/>
    <mergeCell ref="A28:P28"/>
    <mergeCell ref="A29:A30"/>
    <mergeCell ref="B29:B30"/>
    <mergeCell ref="C29:C30"/>
    <mergeCell ref="D29:D30"/>
    <mergeCell ref="E29:F29"/>
    <mergeCell ref="A42:G42"/>
    <mergeCell ref="H42:J42"/>
    <mergeCell ref="K42:P42"/>
    <mergeCell ref="A43:G43"/>
    <mergeCell ref="H43:J43"/>
    <mergeCell ref="K43:P43"/>
    <mergeCell ref="A39:P39"/>
    <mergeCell ref="A40:G40"/>
    <mergeCell ref="H40:J40"/>
    <mergeCell ref="K40:P40"/>
    <mergeCell ref="A41:G41"/>
    <mergeCell ref="H41:J41"/>
    <mergeCell ref="K41:P41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A18:G18"/>
    <mergeCell ref="H18:J18"/>
    <mergeCell ref="K18:P18"/>
    <mergeCell ref="A19:G19"/>
    <mergeCell ref="H19:J19"/>
    <mergeCell ref="K19:P19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236</v>
      </c>
    </row>
    <row r="2" ht="31.5" customHeight="1">
      <c r="A2" s="14" t="s">
        <v>237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48</v>
      </c>
      <c r="B7" s="20"/>
      <c r="C7" s="20"/>
      <c r="D7" s="20"/>
      <c r="E7" s="20"/>
      <c r="F7" s="20"/>
      <c r="G7" s="21"/>
      <c r="H7" s="24" t="s">
        <v>49</v>
      </c>
      <c r="I7" s="20"/>
      <c r="J7" s="21"/>
      <c r="K7" s="25" t="s">
        <v>50</v>
      </c>
      <c r="L7" s="20"/>
      <c r="M7" s="20"/>
      <c r="N7" s="20"/>
      <c r="O7" s="20"/>
      <c r="P7" s="21"/>
    </row>
    <row r="8" ht="18.0" customHeight="1">
      <c r="A8" s="22" t="s">
        <v>211</v>
      </c>
      <c r="B8" s="20"/>
      <c r="C8" s="20"/>
      <c r="D8" s="20"/>
      <c r="E8" s="20"/>
      <c r="F8" s="20"/>
      <c r="G8" s="21"/>
      <c r="H8" s="22" t="s">
        <v>120</v>
      </c>
      <c r="I8" s="20"/>
      <c r="J8" s="21"/>
      <c r="K8" s="23" t="s">
        <v>212</v>
      </c>
      <c r="L8" s="20"/>
      <c r="M8" s="20"/>
      <c r="N8" s="20"/>
      <c r="O8" s="20"/>
      <c r="P8" s="21"/>
    </row>
    <row r="9" ht="18.0" customHeight="1">
      <c r="A9" s="24" t="s">
        <v>176</v>
      </c>
      <c r="B9" s="20"/>
      <c r="C9" s="20"/>
      <c r="D9" s="20"/>
      <c r="E9" s="20"/>
      <c r="F9" s="20"/>
      <c r="G9" s="21"/>
      <c r="H9" s="24" t="s">
        <v>65</v>
      </c>
      <c r="I9" s="20"/>
      <c r="J9" s="21"/>
      <c r="K9" s="25" t="s">
        <v>177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7" t="s">
        <v>238</v>
      </c>
    </row>
    <row r="23" ht="18.0" customHeight="1">
      <c r="A23" s="19" t="s">
        <v>83</v>
      </c>
      <c r="B23" s="20"/>
      <c r="C23" s="20"/>
      <c r="D23" s="20"/>
      <c r="E23" s="20"/>
      <c r="F23" s="20"/>
      <c r="G23" s="21"/>
      <c r="H23" s="19" t="s">
        <v>40</v>
      </c>
      <c r="I23" s="20"/>
      <c r="J23" s="21"/>
      <c r="K23" s="19" t="s">
        <v>41</v>
      </c>
      <c r="L23" s="20"/>
      <c r="M23" s="20"/>
      <c r="N23" s="20"/>
      <c r="O23" s="20"/>
      <c r="P23" s="21"/>
    </row>
    <row r="24" ht="21.75" customHeight="1">
      <c r="A24" s="28" t="s">
        <v>239</v>
      </c>
      <c r="B24" s="20"/>
      <c r="C24" s="20"/>
      <c r="D24" s="20"/>
      <c r="E24" s="20"/>
      <c r="F24" s="20"/>
      <c r="G24" s="21"/>
      <c r="H24" s="22" t="s">
        <v>240</v>
      </c>
      <c r="I24" s="20"/>
      <c r="J24" s="21"/>
      <c r="K24" s="23" t="s">
        <v>241</v>
      </c>
      <c r="L24" s="20"/>
      <c r="M24" s="20"/>
      <c r="N24" s="20"/>
      <c r="O24" s="20"/>
      <c r="P24" s="21"/>
    </row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242</v>
      </c>
      <c r="F29" s="21"/>
      <c r="G29" s="31" t="s">
        <v>243</v>
      </c>
      <c r="H29" s="21"/>
      <c r="I29" s="31" t="s">
        <v>244</v>
      </c>
      <c r="J29" s="21"/>
      <c r="K29" s="31" t="s">
        <v>245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246</v>
      </c>
      <c r="B31" s="34" t="s">
        <v>102</v>
      </c>
      <c r="C31" s="34" t="s">
        <v>214</v>
      </c>
      <c r="D31" s="35" t="s">
        <v>103</v>
      </c>
      <c r="E31" s="36"/>
      <c r="F31" s="37"/>
      <c r="G31" s="36"/>
      <c r="H31" s="37"/>
      <c r="I31" s="36"/>
      <c r="J31" s="37"/>
      <c r="K31" s="36"/>
      <c r="L31" s="37"/>
      <c r="M31" s="38" t="s">
        <v>247</v>
      </c>
      <c r="N31" s="39" t="str">
        <f>IF(OR(NOT(ISNUMBER(K31)),K31=0),"",ROUND(K31*(1+Settings!$B$9),0))</f>
        <v/>
      </c>
      <c r="O31" s="39" t="str">
        <f>IF(OR(NOT(ISNUMBER(K31)),K31=0),"",ROUND(K31*(1+Settings!$C$9),0))</f>
        <v/>
      </c>
      <c r="P31" s="40" t="s">
        <v>13</v>
      </c>
    </row>
    <row r="32" ht="36.0" customHeight="1">
      <c r="A32" s="33" t="s">
        <v>248</v>
      </c>
      <c r="B32" s="34" t="s">
        <v>142</v>
      </c>
      <c r="C32" s="34" t="s">
        <v>249</v>
      </c>
      <c r="D32" s="35" t="s">
        <v>250</v>
      </c>
      <c r="E32" s="36"/>
      <c r="F32" s="37"/>
      <c r="G32" s="36"/>
      <c r="H32" s="37"/>
      <c r="I32" s="36"/>
      <c r="J32" s="37"/>
      <c r="K32" s="36"/>
      <c r="L32" s="37"/>
      <c r="M32" s="38" t="s">
        <v>251</v>
      </c>
      <c r="N32" s="39" t="str">
        <f>IF(OR(NOT(ISNUMBER(K32)),K32=0),"",ROUND(K32*(1+Settings!$B$6),0))</f>
        <v/>
      </c>
      <c r="O32" s="39" t="str">
        <f>IF(OR(NOT(ISNUMBER(K32)),K32=0),"",ROUND(K32*(1+Settings!$C$6),0))</f>
        <v/>
      </c>
      <c r="P32" s="40" t="s">
        <v>7</v>
      </c>
    </row>
    <row r="33" ht="36.0" customHeight="1">
      <c r="A33" s="33" t="s">
        <v>252</v>
      </c>
      <c r="B33" s="34" t="s">
        <v>102</v>
      </c>
      <c r="C33" s="34" t="s">
        <v>52</v>
      </c>
      <c r="D33" s="35" t="s">
        <v>253</v>
      </c>
      <c r="E33" s="36"/>
      <c r="F33" s="37"/>
      <c r="G33" s="36"/>
      <c r="H33" s="37"/>
      <c r="I33" s="36"/>
      <c r="J33" s="37"/>
      <c r="K33" s="36"/>
      <c r="L33" s="37"/>
      <c r="M33" s="38" t="s">
        <v>254</v>
      </c>
      <c r="N33" s="39" t="str">
        <f>IF(OR(NOT(ISNUMBER(K33)),K33=0),"",ROUND(K33*(1+Settings!$B$7),0))</f>
        <v/>
      </c>
      <c r="O33" s="39" t="str">
        <f>IF(OR(NOT(ISNUMBER(K33)),K33=0),"",ROUND(K33*(1+Settings!$C$7),0))</f>
        <v/>
      </c>
      <c r="P33" s="40" t="s">
        <v>9</v>
      </c>
    </row>
    <row r="34" ht="36.0" customHeight="1">
      <c r="A34" s="33" t="s">
        <v>255</v>
      </c>
      <c r="B34" s="34" t="s">
        <v>102</v>
      </c>
      <c r="C34" s="34" t="s">
        <v>151</v>
      </c>
      <c r="D34" s="35" t="s">
        <v>250</v>
      </c>
      <c r="E34" s="36"/>
      <c r="F34" s="37"/>
      <c r="G34" s="36"/>
      <c r="H34" s="37"/>
      <c r="I34" s="36"/>
      <c r="J34" s="37"/>
      <c r="K34" s="36"/>
      <c r="L34" s="37"/>
      <c r="M34" s="38" t="s">
        <v>256</v>
      </c>
      <c r="N34" s="39" t="str">
        <f>IF(OR(NOT(ISNUMBER(K34)),K34=0),"",ROUND(K34*(1+Settings!$B$7),0))</f>
        <v/>
      </c>
      <c r="O34" s="39" t="str">
        <f>IF(OR(NOT(ISNUMBER(K34)),K34=0),"",ROUND(K34*(1+Settings!$C$7),0))</f>
        <v/>
      </c>
      <c r="P34" s="40" t="s">
        <v>9</v>
      </c>
    </row>
    <row r="35" ht="36.0" customHeight="1">
      <c r="A35" s="33" t="s">
        <v>257</v>
      </c>
      <c r="B35" s="34" t="s">
        <v>102</v>
      </c>
      <c r="C35" s="34" t="s">
        <v>258</v>
      </c>
      <c r="D35" s="35" t="s">
        <v>152</v>
      </c>
      <c r="E35" s="36"/>
      <c r="F35" s="37"/>
      <c r="G35" s="36"/>
      <c r="H35" s="37"/>
      <c r="I35" s="36"/>
      <c r="J35" s="37"/>
      <c r="K35" s="36"/>
      <c r="L35" s="37"/>
      <c r="M35" s="38" t="s">
        <v>259</v>
      </c>
      <c r="N35" s="34" t="s">
        <v>118</v>
      </c>
      <c r="O35" s="34" t="s">
        <v>118</v>
      </c>
      <c r="P35" s="40" t="s">
        <v>9</v>
      </c>
    </row>
    <row r="36" ht="36.0" customHeight="1">
      <c r="A36" s="33" t="s">
        <v>260</v>
      </c>
      <c r="B36" s="34" t="s">
        <v>102</v>
      </c>
      <c r="C36" s="34" t="s">
        <v>258</v>
      </c>
      <c r="D36" s="35" t="s">
        <v>261</v>
      </c>
      <c r="E36" s="36"/>
      <c r="F36" s="37"/>
      <c r="G36" s="36"/>
      <c r="H36" s="37"/>
      <c r="I36" s="36"/>
      <c r="J36" s="37"/>
      <c r="K36" s="36"/>
      <c r="L36" s="37"/>
      <c r="M36" s="38"/>
      <c r="N36" s="39" t="str">
        <f>IF(OR(NOT(ISNUMBER(K36)),K36=0),"",ROUND(K36*(1+Settings!$B$7),0))</f>
        <v/>
      </c>
      <c r="O36" s="39" t="str">
        <f>IF(OR(NOT(ISNUMBER(K36)),K36=0),"",ROUND(K36*(1+Settings!$C$7),0))</f>
        <v/>
      </c>
      <c r="P36" s="40" t="s">
        <v>9</v>
      </c>
    </row>
    <row r="37" ht="36.0" customHeight="1">
      <c r="A37" s="33" t="s">
        <v>262</v>
      </c>
      <c r="B37" s="34" t="s">
        <v>102</v>
      </c>
      <c r="C37" s="34" t="s">
        <v>151</v>
      </c>
      <c r="D37" s="35" t="s">
        <v>155</v>
      </c>
      <c r="E37" s="36"/>
      <c r="F37" s="37"/>
      <c r="G37" s="36"/>
      <c r="H37" s="37"/>
      <c r="I37" s="36"/>
      <c r="J37" s="37"/>
      <c r="K37" s="36"/>
      <c r="L37" s="37"/>
      <c r="M37" s="38" t="s">
        <v>263</v>
      </c>
      <c r="N37" s="39" t="str">
        <f>IF(OR(NOT(ISNUMBER(K37)),K37=0),"",ROUND(K37*(1+Settings!$B$7),0))</f>
        <v/>
      </c>
      <c r="O37" s="39" t="str">
        <f>IF(OR(NOT(ISNUMBER(K37)),K37=0),"",ROUND(K37*(1+Settings!$C$7),0))</f>
        <v/>
      </c>
      <c r="P37" s="40" t="s">
        <v>9</v>
      </c>
    </row>
    <row r="38" ht="36.0" customHeight="1">
      <c r="A38" s="33" t="s">
        <v>264</v>
      </c>
      <c r="B38" s="34" t="s">
        <v>102</v>
      </c>
      <c r="C38" s="34" t="s">
        <v>151</v>
      </c>
      <c r="D38" s="35" t="s">
        <v>163</v>
      </c>
      <c r="E38" s="36"/>
      <c r="F38" s="37"/>
      <c r="G38" s="36"/>
      <c r="H38" s="37"/>
      <c r="I38" s="36"/>
      <c r="J38" s="37"/>
      <c r="K38" s="36"/>
      <c r="L38" s="37"/>
      <c r="M38" s="38" t="s">
        <v>265</v>
      </c>
      <c r="N38" s="34" t="s">
        <v>118</v>
      </c>
      <c r="O38" s="34" t="s">
        <v>118</v>
      </c>
      <c r="P38" s="40" t="s">
        <v>17</v>
      </c>
    </row>
    <row r="39" ht="15.75" customHeight="1"/>
    <row r="40" ht="15.75" customHeight="1"/>
    <row r="41" ht="21.75" customHeight="1">
      <c r="A41" s="15" t="s">
        <v>123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</row>
    <row r="42" ht="18.0" customHeight="1">
      <c r="A42" s="19" t="s">
        <v>39</v>
      </c>
      <c r="B42" s="20"/>
      <c r="C42" s="20"/>
      <c r="D42" s="20"/>
      <c r="E42" s="20"/>
      <c r="F42" s="20"/>
      <c r="G42" s="21"/>
      <c r="H42" s="19" t="s">
        <v>40</v>
      </c>
      <c r="I42" s="20"/>
      <c r="J42" s="21"/>
      <c r="K42" s="19" t="s">
        <v>124</v>
      </c>
      <c r="L42" s="20"/>
      <c r="M42" s="20"/>
      <c r="N42" s="20"/>
      <c r="O42" s="20"/>
      <c r="P42" s="21"/>
    </row>
    <row r="43" ht="21.75" customHeight="1">
      <c r="A43" s="22" t="s">
        <v>168</v>
      </c>
      <c r="B43" s="20"/>
      <c r="C43" s="20"/>
      <c r="D43" s="20"/>
      <c r="E43" s="20"/>
      <c r="F43" s="20"/>
      <c r="G43" s="21"/>
      <c r="H43" s="22" t="s">
        <v>169</v>
      </c>
      <c r="I43" s="20"/>
      <c r="J43" s="21"/>
      <c r="K43" s="23" t="s">
        <v>266</v>
      </c>
      <c r="L43" s="20"/>
      <c r="M43" s="20"/>
      <c r="N43" s="20"/>
      <c r="O43" s="20"/>
      <c r="P43" s="21"/>
    </row>
    <row r="44" ht="21.75" customHeight="1">
      <c r="A44" s="24" t="s">
        <v>267</v>
      </c>
      <c r="B44" s="20"/>
      <c r="C44" s="20"/>
      <c r="D44" s="20"/>
      <c r="E44" s="20"/>
      <c r="F44" s="20"/>
      <c r="G44" s="21"/>
      <c r="H44" s="24" t="s">
        <v>169</v>
      </c>
      <c r="I44" s="20"/>
      <c r="J44" s="21"/>
      <c r="K44" s="25" t="s">
        <v>268</v>
      </c>
      <c r="L44" s="20"/>
      <c r="M44" s="20"/>
      <c r="N44" s="20"/>
      <c r="O44" s="20"/>
      <c r="P44" s="21"/>
    </row>
    <row r="45" ht="21.75" customHeight="1">
      <c r="A45" s="22" t="s">
        <v>131</v>
      </c>
      <c r="B45" s="20"/>
      <c r="C45" s="20"/>
      <c r="D45" s="20"/>
      <c r="E45" s="20"/>
      <c r="F45" s="20"/>
      <c r="G45" s="21"/>
      <c r="H45" s="22" t="s">
        <v>65</v>
      </c>
      <c r="I45" s="20"/>
      <c r="J45" s="21"/>
      <c r="K45" s="23" t="s">
        <v>269</v>
      </c>
      <c r="L45" s="20"/>
      <c r="M45" s="20"/>
      <c r="N45" s="20"/>
      <c r="O45" s="20"/>
      <c r="P45" s="2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A18:G18"/>
    <mergeCell ref="H18:J18"/>
    <mergeCell ref="K18:P18"/>
    <mergeCell ref="A19:G19"/>
    <mergeCell ref="H19:J19"/>
    <mergeCell ref="K19:P19"/>
    <mergeCell ref="A21:P21"/>
    <mergeCell ref="A22:P22"/>
    <mergeCell ref="A23:G23"/>
    <mergeCell ref="H23:J23"/>
    <mergeCell ref="K23:P23"/>
    <mergeCell ref="A24:G24"/>
    <mergeCell ref="H24:J24"/>
    <mergeCell ref="K24:P24"/>
    <mergeCell ref="M29:M30"/>
    <mergeCell ref="N29:O29"/>
    <mergeCell ref="A28:P28"/>
    <mergeCell ref="A29:A30"/>
    <mergeCell ref="B29:B30"/>
    <mergeCell ref="C29:C30"/>
    <mergeCell ref="D29:D30"/>
    <mergeCell ref="E29:F29"/>
    <mergeCell ref="G29:H29"/>
    <mergeCell ref="A43:G43"/>
    <mergeCell ref="A44:G44"/>
    <mergeCell ref="H44:J44"/>
    <mergeCell ref="K44:P44"/>
    <mergeCell ref="A45:G45"/>
    <mergeCell ref="H45:J45"/>
    <mergeCell ref="K45:P45"/>
    <mergeCell ref="P29:P30"/>
    <mergeCell ref="A41:P41"/>
    <mergeCell ref="A42:G42"/>
    <mergeCell ref="H42:J42"/>
    <mergeCell ref="K42:P42"/>
    <mergeCell ref="H43:J43"/>
    <mergeCell ref="K43:P43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I29:J29"/>
    <mergeCell ref="K29:L29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270</v>
      </c>
    </row>
    <row r="2" ht="31.5" customHeight="1">
      <c r="A2" s="14" t="s">
        <v>271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135</v>
      </c>
      <c r="B7" s="20"/>
      <c r="C7" s="20"/>
      <c r="D7" s="20"/>
      <c r="E7" s="20"/>
      <c r="F7" s="20"/>
      <c r="G7" s="21"/>
      <c r="H7" s="24" t="s">
        <v>136</v>
      </c>
      <c r="I7" s="20"/>
      <c r="J7" s="21"/>
      <c r="K7" s="25" t="s">
        <v>137</v>
      </c>
      <c r="L7" s="20"/>
      <c r="M7" s="20"/>
      <c r="N7" s="20"/>
      <c r="O7" s="20"/>
      <c r="P7" s="21"/>
    </row>
    <row r="8" ht="18.0" customHeight="1">
      <c r="A8" s="22" t="s">
        <v>51</v>
      </c>
      <c r="B8" s="20"/>
      <c r="C8" s="20"/>
      <c r="D8" s="20"/>
      <c r="E8" s="20"/>
      <c r="F8" s="20"/>
      <c r="G8" s="21"/>
      <c r="H8" s="22" t="s">
        <v>52</v>
      </c>
      <c r="I8" s="20"/>
      <c r="J8" s="21"/>
      <c r="K8" s="23" t="s">
        <v>53</v>
      </c>
      <c r="L8" s="20"/>
      <c r="M8" s="20"/>
      <c r="N8" s="20"/>
      <c r="O8" s="20"/>
      <c r="P8" s="21"/>
    </row>
    <row r="9" ht="18.0" customHeight="1">
      <c r="A9" s="24" t="s">
        <v>45</v>
      </c>
      <c r="B9" s="20"/>
      <c r="C9" s="20"/>
      <c r="D9" s="20"/>
      <c r="E9" s="20"/>
      <c r="F9" s="20"/>
      <c r="G9" s="21"/>
      <c r="H9" s="24" t="s">
        <v>46</v>
      </c>
      <c r="I9" s="20"/>
      <c r="J9" s="21"/>
      <c r="K9" s="25" t="s">
        <v>47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242</v>
      </c>
      <c r="F29" s="21"/>
      <c r="G29" s="31" t="s">
        <v>243</v>
      </c>
      <c r="H29" s="21"/>
      <c r="I29" s="31" t="s">
        <v>244</v>
      </c>
      <c r="J29" s="21"/>
      <c r="K29" s="31" t="s">
        <v>245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141</v>
      </c>
      <c r="B31" s="34" t="s">
        <v>143</v>
      </c>
      <c r="C31" s="34" t="s">
        <v>272</v>
      </c>
      <c r="D31" s="35" t="s">
        <v>273</v>
      </c>
      <c r="E31" s="36"/>
      <c r="F31" s="37"/>
      <c r="G31" s="36"/>
      <c r="H31" s="37"/>
      <c r="I31" s="36"/>
      <c r="J31" s="37"/>
      <c r="K31" s="36"/>
      <c r="L31" s="37"/>
      <c r="M31" s="38" t="s">
        <v>274</v>
      </c>
      <c r="N31" s="39" t="str">
        <f>IF(OR(NOT(ISNUMBER(K31)),K31=0),"",ROUND(K31*(1+Settings!$B$6),0))</f>
        <v/>
      </c>
      <c r="O31" s="39" t="str">
        <f>IF(OR(NOT(ISNUMBER(K31)),K31=0),"",ROUND(K31*(1+Settings!$C$6),0))</f>
        <v/>
      </c>
      <c r="P31" s="40" t="s">
        <v>7</v>
      </c>
    </row>
    <row r="32" ht="36.0" customHeight="1">
      <c r="A32" s="33" t="s">
        <v>275</v>
      </c>
      <c r="B32" s="34" t="s">
        <v>142</v>
      </c>
      <c r="C32" s="34" t="s">
        <v>52</v>
      </c>
      <c r="D32" s="35" t="s">
        <v>148</v>
      </c>
      <c r="E32" s="36"/>
      <c r="F32" s="37"/>
      <c r="G32" s="36"/>
      <c r="H32" s="37"/>
      <c r="I32" s="36"/>
      <c r="J32" s="37"/>
      <c r="K32" s="36"/>
      <c r="L32" s="37"/>
      <c r="M32" s="38" t="s">
        <v>276</v>
      </c>
      <c r="N32" s="39" t="str">
        <f>IF(OR(NOT(ISNUMBER(K32)),K32=0),"",ROUND(K32*(1+Settings!$B$8),0))</f>
        <v/>
      </c>
      <c r="O32" s="39" t="str">
        <f>IF(OR(NOT(ISNUMBER(K32)),K32=0),"",ROUND(K32*(1+Settings!$C$8),0))</f>
        <v/>
      </c>
      <c r="P32" s="40" t="s">
        <v>11</v>
      </c>
    </row>
    <row r="33" ht="36.0" customHeight="1">
      <c r="A33" s="33" t="s">
        <v>277</v>
      </c>
      <c r="B33" s="34" t="s">
        <v>142</v>
      </c>
      <c r="C33" s="34" t="s">
        <v>151</v>
      </c>
      <c r="D33" s="35" t="s">
        <v>278</v>
      </c>
      <c r="E33" s="36"/>
      <c r="F33" s="37"/>
      <c r="G33" s="36"/>
      <c r="H33" s="37"/>
      <c r="I33" s="36"/>
      <c r="J33" s="37"/>
      <c r="K33" s="36"/>
      <c r="L33" s="37"/>
      <c r="M33" s="38" t="s">
        <v>279</v>
      </c>
      <c r="N33" s="39" t="str">
        <f>IF(OR(NOT(ISNUMBER(K33)),K33=0),"",ROUND(K33*(1+Settings!$B$6),0))</f>
        <v/>
      </c>
      <c r="O33" s="39" t="str">
        <f>IF(OR(NOT(ISNUMBER(K33)),K33=0),"",ROUND(K33*(1+Settings!$C$6),0))</f>
        <v/>
      </c>
      <c r="P33" s="40" t="s">
        <v>7</v>
      </c>
    </row>
    <row r="34" ht="36.0" customHeight="1">
      <c r="A34" s="33" t="s">
        <v>280</v>
      </c>
      <c r="B34" s="34" t="s">
        <v>102</v>
      </c>
      <c r="C34" s="34" t="s">
        <v>281</v>
      </c>
      <c r="D34" s="35" t="s">
        <v>163</v>
      </c>
      <c r="E34" s="36"/>
      <c r="F34" s="37"/>
      <c r="G34" s="36"/>
      <c r="H34" s="37"/>
      <c r="I34" s="36"/>
      <c r="J34" s="37"/>
      <c r="K34" s="36"/>
      <c r="L34" s="37"/>
      <c r="M34" s="38" t="s">
        <v>282</v>
      </c>
      <c r="N34" s="34" t="s">
        <v>118</v>
      </c>
      <c r="O34" s="34" t="s">
        <v>118</v>
      </c>
      <c r="P34" s="40" t="s">
        <v>9</v>
      </c>
    </row>
    <row r="35" ht="36.0" customHeight="1">
      <c r="A35" s="33" t="s">
        <v>283</v>
      </c>
      <c r="B35" s="34" t="s">
        <v>102</v>
      </c>
      <c r="C35" s="34" t="s">
        <v>284</v>
      </c>
      <c r="D35" s="35" t="s">
        <v>219</v>
      </c>
      <c r="E35" s="36"/>
      <c r="F35" s="37"/>
      <c r="G35" s="36"/>
      <c r="H35" s="37"/>
      <c r="I35" s="36"/>
      <c r="J35" s="37"/>
      <c r="K35" s="36"/>
      <c r="L35" s="37"/>
      <c r="M35" s="38" t="s">
        <v>285</v>
      </c>
      <c r="N35" s="39" t="str">
        <f>IF(OR(NOT(ISNUMBER(K35)),K35=0),"",ROUND(K35*(1+Settings!$B$8),0))</f>
        <v/>
      </c>
      <c r="O35" s="39" t="str">
        <f>IF(OR(NOT(ISNUMBER(K35)),K35=0),"",ROUND(K35*(1+Settings!$C$8),0))</f>
        <v/>
      </c>
      <c r="P35" s="40" t="s">
        <v>11</v>
      </c>
    </row>
    <row r="36" ht="36.0" customHeight="1">
      <c r="A36" s="33" t="s">
        <v>286</v>
      </c>
      <c r="B36" s="34" t="s">
        <v>102</v>
      </c>
      <c r="C36" s="34" t="s">
        <v>201</v>
      </c>
      <c r="D36" s="35" t="s">
        <v>191</v>
      </c>
      <c r="E36" s="36"/>
      <c r="F36" s="37"/>
      <c r="G36" s="36"/>
      <c r="H36" s="37"/>
      <c r="I36" s="36"/>
      <c r="J36" s="37"/>
      <c r="K36" s="36"/>
      <c r="L36" s="37"/>
      <c r="M36" s="38" t="s">
        <v>287</v>
      </c>
      <c r="N36" s="39" t="str">
        <f>IF(OR(NOT(ISNUMBER(K36)),K36=0),"",ROUND(K36*(1+Settings!$B$11),0))</f>
        <v/>
      </c>
      <c r="O36" s="39" t="str">
        <f>IF(OR(NOT(ISNUMBER(K36)),K36=0),"",ROUND(K36*(1+Settings!$C$11),0))</f>
        <v/>
      </c>
      <c r="P36" s="40" t="s">
        <v>17</v>
      </c>
    </row>
    <row r="37" ht="15.75" customHeight="1"/>
    <row r="38" ht="15.75" customHeight="1"/>
    <row r="39" ht="21.75" customHeight="1">
      <c r="A39" s="15" t="s">
        <v>123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ht="18.0" customHeight="1">
      <c r="A40" s="19" t="s">
        <v>39</v>
      </c>
      <c r="B40" s="20"/>
      <c r="C40" s="20"/>
      <c r="D40" s="20"/>
      <c r="E40" s="20"/>
      <c r="F40" s="20"/>
      <c r="G40" s="21"/>
      <c r="H40" s="19" t="s">
        <v>40</v>
      </c>
      <c r="I40" s="20"/>
      <c r="J40" s="21"/>
      <c r="K40" s="19" t="s">
        <v>124</v>
      </c>
      <c r="L40" s="20"/>
      <c r="M40" s="20"/>
      <c r="N40" s="20"/>
      <c r="O40" s="20"/>
      <c r="P40" s="21"/>
    </row>
    <row r="41" ht="21.75" customHeight="1">
      <c r="A41" s="22" t="s">
        <v>165</v>
      </c>
      <c r="B41" s="20"/>
      <c r="C41" s="20"/>
      <c r="D41" s="20"/>
      <c r="E41" s="20"/>
      <c r="F41" s="20"/>
      <c r="G41" s="21"/>
      <c r="H41" s="22" t="s">
        <v>166</v>
      </c>
      <c r="I41" s="20"/>
      <c r="J41" s="21"/>
      <c r="K41" s="23" t="s">
        <v>288</v>
      </c>
      <c r="L41" s="20"/>
      <c r="M41" s="20"/>
      <c r="N41" s="20"/>
      <c r="O41" s="20"/>
      <c r="P41" s="21"/>
    </row>
    <row r="42" ht="21.75" customHeight="1">
      <c r="A42" s="24" t="s">
        <v>289</v>
      </c>
      <c r="B42" s="20"/>
      <c r="C42" s="20"/>
      <c r="D42" s="20"/>
      <c r="E42" s="20"/>
      <c r="F42" s="20"/>
      <c r="G42" s="21"/>
      <c r="H42" s="24" t="s">
        <v>172</v>
      </c>
      <c r="I42" s="20"/>
      <c r="J42" s="21"/>
      <c r="K42" s="25" t="s">
        <v>290</v>
      </c>
      <c r="L42" s="20"/>
      <c r="M42" s="20"/>
      <c r="N42" s="20"/>
      <c r="O42" s="20"/>
      <c r="P42" s="21"/>
    </row>
    <row r="43" ht="21.75" customHeight="1">
      <c r="A43" s="22" t="s">
        <v>204</v>
      </c>
      <c r="B43" s="20"/>
      <c r="C43" s="20"/>
      <c r="D43" s="20"/>
      <c r="E43" s="20"/>
      <c r="F43" s="20"/>
      <c r="G43" s="21"/>
      <c r="H43" s="22" t="s">
        <v>205</v>
      </c>
      <c r="I43" s="20"/>
      <c r="J43" s="21"/>
      <c r="K43" s="23" t="s">
        <v>291</v>
      </c>
      <c r="L43" s="20"/>
      <c r="M43" s="20"/>
      <c r="N43" s="20"/>
      <c r="O43" s="20"/>
      <c r="P43" s="2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G29:H29"/>
    <mergeCell ref="I29:J29"/>
    <mergeCell ref="K29:L29"/>
    <mergeCell ref="M29:M30"/>
    <mergeCell ref="N29:O29"/>
    <mergeCell ref="P29:P30"/>
    <mergeCell ref="A22:P22"/>
    <mergeCell ref="A28:P28"/>
    <mergeCell ref="A29:A30"/>
    <mergeCell ref="B29:B30"/>
    <mergeCell ref="C29:C30"/>
    <mergeCell ref="D29:D30"/>
    <mergeCell ref="E29:F29"/>
    <mergeCell ref="A42:G42"/>
    <mergeCell ref="H42:J42"/>
    <mergeCell ref="K42:P42"/>
    <mergeCell ref="A43:G43"/>
    <mergeCell ref="H43:J43"/>
    <mergeCell ref="K43:P43"/>
    <mergeCell ref="A39:P39"/>
    <mergeCell ref="A40:G40"/>
    <mergeCell ref="H40:J40"/>
    <mergeCell ref="K40:P40"/>
    <mergeCell ref="A41:G41"/>
    <mergeCell ref="H41:J41"/>
    <mergeCell ref="K41:P41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A18:G18"/>
    <mergeCell ref="H18:J18"/>
    <mergeCell ref="K18:P18"/>
    <mergeCell ref="A19:G19"/>
    <mergeCell ref="H19:J19"/>
    <mergeCell ref="K19:P19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292</v>
      </c>
    </row>
    <row r="2" ht="31.5" customHeight="1">
      <c r="A2" s="14" t="s">
        <v>293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294</v>
      </c>
      <c r="B7" s="20"/>
      <c r="C7" s="20"/>
      <c r="D7" s="20"/>
      <c r="E7" s="20"/>
      <c r="F7" s="20"/>
      <c r="G7" s="21"/>
      <c r="H7" s="24" t="s">
        <v>65</v>
      </c>
      <c r="I7" s="20"/>
      <c r="J7" s="21"/>
      <c r="K7" s="25" t="s">
        <v>295</v>
      </c>
      <c r="L7" s="20"/>
      <c r="M7" s="20"/>
      <c r="N7" s="20"/>
      <c r="O7" s="20"/>
      <c r="P7" s="21"/>
    </row>
    <row r="8" ht="18.0" customHeight="1">
      <c r="A8" s="22" t="s">
        <v>176</v>
      </c>
      <c r="B8" s="20"/>
      <c r="C8" s="20"/>
      <c r="D8" s="20"/>
      <c r="E8" s="20"/>
      <c r="F8" s="20"/>
      <c r="G8" s="21"/>
      <c r="H8" s="22" t="s">
        <v>65</v>
      </c>
      <c r="I8" s="20"/>
      <c r="J8" s="21"/>
      <c r="K8" s="23" t="s">
        <v>177</v>
      </c>
      <c r="L8" s="20"/>
      <c r="M8" s="20"/>
      <c r="N8" s="20"/>
      <c r="O8" s="20"/>
      <c r="P8" s="21"/>
    </row>
    <row r="9" ht="18.0" customHeight="1">
      <c r="A9" s="24" t="s">
        <v>48</v>
      </c>
      <c r="B9" s="20"/>
      <c r="C9" s="20"/>
      <c r="D9" s="20"/>
      <c r="E9" s="20"/>
      <c r="F9" s="20"/>
      <c r="G9" s="21"/>
      <c r="H9" s="24" t="s">
        <v>49</v>
      </c>
      <c r="I9" s="20"/>
      <c r="J9" s="21"/>
      <c r="K9" s="25" t="s">
        <v>50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242</v>
      </c>
      <c r="F29" s="21"/>
      <c r="G29" s="31" t="s">
        <v>243</v>
      </c>
      <c r="H29" s="21"/>
      <c r="I29" s="31" t="s">
        <v>244</v>
      </c>
      <c r="J29" s="21"/>
      <c r="K29" s="31" t="s">
        <v>245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296</v>
      </c>
      <c r="B31" s="34" t="s">
        <v>142</v>
      </c>
      <c r="C31" s="34" t="s">
        <v>147</v>
      </c>
      <c r="D31" s="35" t="s">
        <v>297</v>
      </c>
      <c r="E31" s="36"/>
      <c r="F31" s="37"/>
      <c r="G31" s="36"/>
      <c r="H31" s="37"/>
      <c r="I31" s="36"/>
      <c r="J31" s="37"/>
      <c r="K31" s="36"/>
      <c r="L31" s="37"/>
      <c r="M31" s="38" t="s">
        <v>298</v>
      </c>
      <c r="N31" s="39" t="str">
        <f>IF(OR(NOT(ISNUMBER(K31)),K31=0),"",ROUND(K31*(1+Settings!$B$6),0))</f>
        <v/>
      </c>
      <c r="O31" s="39" t="str">
        <f>IF(OR(NOT(ISNUMBER(K31)),K31=0),"",ROUND(K31*(1+Settings!$C$6),0))</f>
        <v/>
      </c>
      <c r="P31" s="40" t="s">
        <v>7</v>
      </c>
    </row>
    <row r="32" ht="36.0" customHeight="1">
      <c r="A32" s="33" t="s">
        <v>299</v>
      </c>
      <c r="B32" s="34" t="s">
        <v>142</v>
      </c>
      <c r="C32" s="34" t="s">
        <v>120</v>
      </c>
      <c r="D32" s="35" t="s">
        <v>300</v>
      </c>
      <c r="E32" s="36"/>
      <c r="F32" s="37"/>
      <c r="G32" s="36"/>
      <c r="H32" s="37"/>
      <c r="I32" s="36"/>
      <c r="J32" s="37"/>
      <c r="K32" s="36"/>
      <c r="L32" s="37"/>
      <c r="M32" s="38" t="s">
        <v>301</v>
      </c>
      <c r="N32" s="39" t="str">
        <f>IF(OR(NOT(ISNUMBER(K32)),K32=0),"",ROUND(K32*(1+Settings!$B$7),0))</f>
        <v/>
      </c>
      <c r="O32" s="39" t="str">
        <f>IF(OR(NOT(ISNUMBER(K32)),K32=0),"",ROUND(K32*(1+Settings!$C$7),0))</f>
        <v/>
      </c>
      <c r="P32" s="40" t="s">
        <v>9</v>
      </c>
    </row>
    <row r="33" ht="36.0" customHeight="1">
      <c r="A33" s="33" t="s">
        <v>302</v>
      </c>
      <c r="B33" s="34" t="s">
        <v>102</v>
      </c>
      <c r="C33" s="34" t="s">
        <v>151</v>
      </c>
      <c r="D33" s="35" t="s">
        <v>303</v>
      </c>
      <c r="E33" s="36"/>
      <c r="F33" s="37"/>
      <c r="G33" s="36"/>
      <c r="H33" s="37"/>
      <c r="I33" s="36"/>
      <c r="J33" s="37"/>
      <c r="K33" s="36"/>
      <c r="L33" s="37"/>
      <c r="M33" s="38" t="s">
        <v>304</v>
      </c>
      <c r="N33" s="39" t="str">
        <f>IF(OR(NOT(ISNUMBER(K33)),K33=0),"",ROUND(K33*(1+Settings!$B$7),0))</f>
        <v/>
      </c>
      <c r="O33" s="39" t="str">
        <f>IF(OR(NOT(ISNUMBER(K33)),K33=0),"",ROUND(K33*(1+Settings!$C$7),0))</f>
        <v/>
      </c>
      <c r="P33" s="40" t="s">
        <v>9</v>
      </c>
    </row>
    <row r="34" ht="36.0" customHeight="1">
      <c r="A34" s="33" t="s">
        <v>305</v>
      </c>
      <c r="B34" s="34" t="s">
        <v>102</v>
      </c>
      <c r="C34" s="34" t="s">
        <v>151</v>
      </c>
      <c r="D34" s="35" t="s">
        <v>148</v>
      </c>
      <c r="E34" s="36"/>
      <c r="F34" s="37"/>
      <c r="G34" s="36"/>
      <c r="H34" s="37"/>
      <c r="I34" s="36"/>
      <c r="J34" s="37"/>
      <c r="K34" s="36"/>
      <c r="L34" s="37"/>
      <c r="M34" s="38" t="s">
        <v>306</v>
      </c>
      <c r="N34" s="39" t="str">
        <f>IF(OR(NOT(ISNUMBER(K34)),K34=0),"",ROUND(K34*(1+Settings!$B$7),0))</f>
        <v/>
      </c>
      <c r="O34" s="39" t="str">
        <f>IF(OR(NOT(ISNUMBER(K34)),K34=0),"",ROUND(K34*(1+Settings!$C$7),0))</f>
        <v/>
      </c>
      <c r="P34" s="40" t="s">
        <v>9</v>
      </c>
    </row>
    <row r="35" ht="36.0" customHeight="1">
      <c r="A35" s="33" t="s">
        <v>307</v>
      </c>
      <c r="B35" s="34" t="s">
        <v>102</v>
      </c>
      <c r="C35" s="34" t="s">
        <v>151</v>
      </c>
      <c r="D35" s="35" t="s">
        <v>152</v>
      </c>
      <c r="E35" s="36"/>
      <c r="F35" s="37"/>
      <c r="G35" s="36"/>
      <c r="H35" s="37"/>
      <c r="I35" s="36"/>
      <c r="J35" s="37"/>
      <c r="K35" s="36"/>
      <c r="L35" s="37"/>
      <c r="M35" s="38" t="s">
        <v>308</v>
      </c>
      <c r="N35" s="34" t="s">
        <v>118</v>
      </c>
      <c r="O35" s="34" t="s">
        <v>118</v>
      </c>
      <c r="P35" s="40" t="s">
        <v>9</v>
      </c>
    </row>
    <row r="36" ht="36.0" customHeight="1">
      <c r="A36" s="33" t="s">
        <v>309</v>
      </c>
      <c r="B36" s="34" t="s">
        <v>102</v>
      </c>
      <c r="C36" s="34" t="s">
        <v>258</v>
      </c>
      <c r="D36" s="35" t="s">
        <v>191</v>
      </c>
      <c r="E36" s="36"/>
      <c r="F36" s="37"/>
      <c r="G36" s="36"/>
      <c r="H36" s="37"/>
      <c r="I36" s="36"/>
      <c r="J36" s="37"/>
      <c r="K36" s="36"/>
      <c r="L36" s="37"/>
      <c r="M36" s="38" t="s">
        <v>310</v>
      </c>
      <c r="N36" s="39" t="str">
        <f>IF(OR(NOT(ISNUMBER(K36)),K36=0),"",ROUND(K36*(1+Settings!$B$7),0))</f>
        <v/>
      </c>
      <c r="O36" s="39" t="str">
        <f>IF(OR(NOT(ISNUMBER(K36)),K36=0),"",ROUND(K36*(1+Settings!$C$7),0))</f>
        <v/>
      </c>
      <c r="P36" s="40" t="s">
        <v>9</v>
      </c>
    </row>
    <row r="37" ht="36.0" customHeight="1">
      <c r="A37" s="33" t="s">
        <v>311</v>
      </c>
      <c r="B37" s="34" t="s">
        <v>102</v>
      </c>
      <c r="C37" s="34" t="s">
        <v>151</v>
      </c>
      <c r="D37" s="35" t="s">
        <v>312</v>
      </c>
      <c r="E37" s="36"/>
      <c r="F37" s="37"/>
      <c r="G37" s="36"/>
      <c r="H37" s="37"/>
      <c r="I37" s="36"/>
      <c r="J37" s="37"/>
      <c r="K37" s="36"/>
      <c r="L37" s="37"/>
      <c r="M37" s="38"/>
      <c r="N37" s="39" t="str">
        <f>IF(OR(NOT(ISNUMBER(K37)),K37=0),"",ROUND(K37*(1+Settings!$B$7),0))</f>
        <v/>
      </c>
      <c r="O37" s="39" t="str">
        <f>IF(OR(NOT(ISNUMBER(K37)),K37=0),"",ROUND(K37*(1+Settings!$C$7),0))</f>
        <v/>
      </c>
      <c r="P37" s="40" t="s">
        <v>9</v>
      </c>
    </row>
    <row r="38" ht="36.0" customHeight="1">
      <c r="A38" s="33" t="s">
        <v>313</v>
      </c>
      <c r="B38" s="34" t="s">
        <v>102</v>
      </c>
      <c r="C38" s="34" t="s">
        <v>201</v>
      </c>
      <c r="D38" s="35" t="s">
        <v>163</v>
      </c>
      <c r="E38" s="36"/>
      <c r="F38" s="37"/>
      <c r="G38" s="36"/>
      <c r="H38" s="37"/>
      <c r="I38" s="36"/>
      <c r="J38" s="37"/>
      <c r="K38" s="36"/>
      <c r="L38" s="37"/>
      <c r="M38" s="38" t="s">
        <v>314</v>
      </c>
      <c r="N38" s="34" t="s">
        <v>118</v>
      </c>
      <c r="O38" s="34" t="s">
        <v>118</v>
      </c>
      <c r="P38" s="40" t="s">
        <v>17</v>
      </c>
    </row>
    <row r="39" ht="15.75" customHeight="1"/>
    <row r="40" ht="15.75" customHeight="1"/>
    <row r="41" ht="21.75" customHeight="1">
      <c r="A41" s="15" t="s">
        <v>123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</row>
    <row r="42" ht="18.0" customHeight="1">
      <c r="A42" s="19" t="s">
        <v>39</v>
      </c>
      <c r="B42" s="20"/>
      <c r="C42" s="20"/>
      <c r="D42" s="20"/>
      <c r="E42" s="20"/>
      <c r="F42" s="20"/>
      <c r="G42" s="21"/>
      <c r="H42" s="19" t="s">
        <v>40</v>
      </c>
      <c r="I42" s="20"/>
      <c r="J42" s="21"/>
      <c r="K42" s="19" t="s">
        <v>124</v>
      </c>
      <c r="L42" s="20"/>
      <c r="M42" s="20"/>
      <c r="N42" s="20"/>
      <c r="O42" s="20"/>
      <c r="P42" s="21"/>
    </row>
    <row r="43" ht="21.75" customHeight="1">
      <c r="A43" s="22" t="s">
        <v>207</v>
      </c>
      <c r="B43" s="20"/>
      <c r="C43" s="20"/>
      <c r="D43" s="20"/>
      <c r="E43" s="20"/>
      <c r="F43" s="20"/>
      <c r="G43" s="21"/>
      <c r="H43" s="22" t="s">
        <v>169</v>
      </c>
      <c r="I43" s="20"/>
      <c r="J43" s="21"/>
      <c r="K43" s="23" t="s">
        <v>315</v>
      </c>
      <c r="L43" s="20"/>
      <c r="M43" s="20"/>
      <c r="N43" s="20"/>
      <c r="O43" s="20"/>
      <c r="P43" s="21"/>
    </row>
    <row r="44" ht="21.75" customHeight="1">
      <c r="A44" s="24" t="s">
        <v>316</v>
      </c>
      <c r="B44" s="20"/>
      <c r="C44" s="20"/>
      <c r="D44" s="20"/>
      <c r="E44" s="20"/>
      <c r="F44" s="20"/>
      <c r="G44" s="21"/>
      <c r="H44" s="24" t="s">
        <v>169</v>
      </c>
      <c r="I44" s="20"/>
      <c r="J44" s="21"/>
      <c r="K44" s="25" t="s">
        <v>317</v>
      </c>
      <c r="L44" s="20"/>
      <c r="M44" s="20"/>
      <c r="N44" s="20"/>
      <c r="O44" s="20"/>
      <c r="P44" s="21"/>
    </row>
    <row r="45" ht="21.75" customHeight="1">
      <c r="A45" s="22" t="s">
        <v>318</v>
      </c>
      <c r="B45" s="20"/>
      <c r="C45" s="20"/>
      <c r="D45" s="20"/>
      <c r="E45" s="20"/>
      <c r="F45" s="20"/>
      <c r="G45" s="21"/>
      <c r="H45" s="22" t="s">
        <v>319</v>
      </c>
      <c r="I45" s="20"/>
      <c r="J45" s="21"/>
      <c r="K45" s="23" t="s">
        <v>320</v>
      </c>
      <c r="L45" s="20"/>
      <c r="M45" s="20"/>
      <c r="N45" s="20"/>
      <c r="O45" s="20"/>
      <c r="P45" s="2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G29:H29"/>
    <mergeCell ref="I29:J29"/>
    <mergeCell ref="K29:L29"/>
    <mergeCell ref="M29:M30"/>
    <mergeCell ref="N29:O29"/>
    <mergeCell ref="P29:P30"/>
    <mergeCell ref="A22:P22"/>
    <mergeCell ref="A28:P28"/>
    <mergeCell ref="A29:A30"/>
    <mergeCell ref="B29:B30"/>
    <mergeCell ref="C29:C30"/>
    <mergeCell ref="D29:D30"/>
    <mergeCell ref="E29:F29"/>
    <mergeCell ref="A44:G44"/>
    <mergeCell ref="H44:J44"/>
    <mergeCell ref="K44:P44"/>
    <mergeCell ref="A45:G45"/>
    <mergeCell ref="H45:J45"/>
    <mergeCell ref="K45:P45"/>
    <mergeCell ref="A41:P41"/>
    <mergeCell ref="A42:G42"/>
    <mergeCell ref="H42:J42"/>
    <mergeCell ref="K42:P42"/>
    <mergeCell ref="A43:G43"/>
    <mergeCell ref="H43:J43"/>
    <mergeCell ref="K43:P43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A18:G18"/>
    <mergeCell ref="H18:J18"/>
    <mergeCell ref="K18:P18"/>
    <mergeCell ref="A19:G19"/>
    <mergeCell ref="H19:J19"/>
    <mergeCell ref="K19:P19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321</v>
      </c>
    </row>
    <row r="2" ht="31.5" customHeight="1">
      <c r="A2" s="14" t="s">
        <v>210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135</v>
      </c>
      <c r="B7" s="20"/>
      <c r="C7" s="20"/>
      <c r="D7" s="20"/>
      <c r="E7" s="20"/>
      <c r="F7" s="20"/>
      <c r="G7" s="21"/>
      <c r="H7" s="24" t="s">
        <v>136</v>
      </c>
      <c r="I7" s="20"/>
      <c r="J7" s="21"/>
      <c r="K7" s="25" t="s">
        <v>137</v>
      </c>
      <c r="L7" s="20"/>
      <c r="M7" s="20"/>
      <c r="N7" s="20"/>
      <c r="O7" s="20"/>
      <c r="P7" s="21"/>
    </row>
    <row r="8" ht="18.0" customHeight="1">
      <c r="A8" s="22" t="s">
        <v>178</v>
      </c>
      <c r="B8" s="20"/>
      <c r="C8" s="20"/>
      <c r="D8" s="20"/>
      <c r="E8" s="20"/>
      <c r="F8" s="20"/>
      <c r="G8" s="21"/>
      <c r="H8" s="22" t="s">
        <v>179</v>
      </c>
      <c r="I8" s="20"/>
      <c r="J8" s="21"/>
      <c r="K8" s="23" t="s">
        <v>180</v>
      </c>
      <c r="L8" s="20"/>
      <c r="M8" s="20"/>
      <c r="N8" s="20"/>
      <c r="O8" s="20"/>
      <c r="P8" s="21"/>
    </row>
    <row r="9" ht="18.0" customHeight="1">
      <c r="A9" s="24" t="s">
        <v>45</v>
      </c>
      <c r="B9" s="20"/>
      <c r="C9" s="20"/>
      <c r="D9" s="20"/>
      <c r="E9" s="20"/>
      <c r="F9" s="20"/>
      <c r="G9" s="21"/>
      <c r="H9" s="24" t="s">
        <v>46</v>
      </c>
      <c r="I9" s="20"/>
      <c r="J9" s="21"/>
      <c r="K9" s="25" t="s">
        <v>47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242</v>
      </c>
      <c r="F29" s="21"/>
      <c r="G29" s="31" t="s">
        <v>243</v>
      </c>
      <c r="H29" s="21"/>
      <c r="I29" s="31" t="s">
        <v>244</v>
      </c>
      <c r="J29" s="21"/>
      <c r="K29" s="31" t="s">
        <v>245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213</v>
      </c>
      <c r="B31" s="34" t="s">
        <v>142</v>
      </c>
      <c r="C31" s="34" t="s">
        <v>106</v>
      </c>
      <c r="D31" s="35" t="s">
        <v>144</v>
      </c>
      <c r="E31" s="36"/>
      <c r="F31" s="37"/>
      <c r="G31" s="36"/>
      <c r="H31" s="37"/>
      <c r="I31" s="36"/>
      <c r="J31" s="37"/>
      <c r="K31" s="36"/>
      <c r="L31" s="37"/>
      <c r="M31" s="38" t="s">
        <v>322</v>
      </c>
      <c r="N31" s="39" t="str">
        <f>IF(OR(NOT(ISNUMBER(K31)),K31=0),"",ROUND(K31*(1+Settings!$B$6),0))</f>
        <v/>
      </c>
      <c r="O31" s="39" t="str">
        <f>IF(OR(NOT(ISNUMBER(K31)),K31=0),"",ROUND(K31*(1+Settings!$C$6),0))</f>
        <v/>
      </c>
      <c r="P31" s="40" t="s">
        <v>7</v>
      </c>
    </row>
    <row r="32" ht="36.0" customHeight="1">
      <c r="A32" s="33" t="s">
        <v>323</v>
      </c>
      <c r="B32" s="34" t="s">
        <v>142</v>
      </c>
      <c r="C32" s="34" t="s">
        <v>151</v>
      </c>
      <c r="D32" s="35" t="s">
        <v>324</v>
      </c>
      <c r="E32" s="36"/>
      <c r="F32" s="37"/>
      <c r="G32" s="36"/>
      <c r="H32" s="37"/>
      <c r="I32" s="36"/>
      <c r="J32" s="37"/>
      <c r="K32" s="36"/>
      <c r="L32" s="37"/>
      <c r="M32" s="38" t="s">
        <v>325</v>
      </c>
      <c r="N32" s="39" t="str">
        <f>IF(OR(NOT(ISNUMBER(K32)),K32=0),"",ROUND(K32*(1+Settings!$B$7),0))</f>
        <v/>
      </c>
      <c r="O32" s="39" t="str">
        <f>IF(OR(NOT(ISNUMBER(K32)),K32=0),"",ROUND(K32*(1+Settings!$C$7),0))</f>
        <v/>
      </c>
      <c r="P32" s="40" t="s">
        <v>9</v>
      </c>
    </row>
    <row r="33" ht="36.0" customHeight="1">
      <c r="A33" s="33" t="s">
        <v>326</v>
      </c>
      <c r="B33" s="34" t="s">
        <v>102</v>
      </c>
      <c r="C33" s="34" t="s">
        <v>52</v>
      </c>
      <c r="D33" s="35" t="s">
        <v>327</v>
      </c>
      <c r="E33" s="36"/>
      <c r="F33" s="37"/>
      <c r="G33" s="36"/>
      <c r="H33" s="37"/>
      <c r="I33" s="36"/>
      <c r="J33" s="37"/>
      <c r="K33" s="36"/>
      <c r="L33" s="37"/>
      <c r="M33" s="38" t="s">
        <v>328</v>
      </c>
      <c r="N33" s="39" t="str">
        <f>IF(OR(NOT(ISNUMBER(K33)),K33=0),"",ROUND(K33*(1+Settings!$B$8),0))</f>
        <v/>
      </c>
      <c r="O33" s="39" t="str">
        <f>IF(OR(NOT(ISNUMBER(K33)),K33=0),"",ROUND(K33*(1+Settings!$C$8),0))</f>
        <v/>
      </c>
      <c r="P33" s="40" t="s">
        <v>11</v>
      </c>
    </row>
    <row r="34" ht="36.0" customHeight="1">
      <c r="A34" s="33" t="s">
        <v>329</v>
      </c>
      <c r="B34" s="34" t="s">
        <v>102</v>
      </c>
      <c r="C34" s="34" t="s">
        <v>120</v>
      </c>
      <c r="D34" s="35" t="s">
        <v>163</v>
      </c>
      <c r="E34" s="36"/>
      <c r="F34" s="37"/>
      <c r="G34" s="36"/>
      <c r="H34" s="37"/>
      <c r="I34" s="36"/>
      <c r="J34" s="37"/>
      <c r="K34" s="36"/>
      <c r="L34" s="37"/>
      <c r="M34" s="38" t="s">
        <v>330</v>
      </c>
      <c r="N34" s="34" t="s">
        <v>118</v>
      </c>
      <c r="O34" s="34" t="s">
        <v>118</v>
      </c>
      <c r="P34" s="40" t="s">
        <v>11</v>
      </c>
    </row>
    <row r="35" ht="36.0" customHeight="1">
      <c r="A35" s="33" t="s">
        <v>331</v>
      </c>
      <c r="B35" s="34" t="s">
        <v>102</v>
      </c>
      <c r="C35" s="34" t="s">
        <v>332</v>
      </c>
      <c r="D35" s="35" t="s">
        <v>333</v>
      </c>
      <c r="E35" s="36"/>
      <c r="F35" s="37"/>
      <c r="G35" s="36"/>
      <c r="H35" s="37"/>
      <c r="I35" s="36"/>
      <c r="J35" s="37"/>
      <c r="K35" s="36"/>
      <c r="L35" s="37"/>
      <c r="M35" s="38" t="s">
        <v>334</v>
      </c>
      <c r="N35" s="34" t="s">
        <v>118</v>
      </c>
      <c r="O35" s="34" t="s">
        <v>118</v>
      </c>
      <c r="P35" s="40" t="s">
        <v>15</v>
      </c>
    </row>
    <row r="36" ht="36.0" customHeight="1">
      <c r="A36" s="33" t="s">
        <v>335</v>
      </c>
      <c r="B36" s="34" t="s">
        <v>102</v>
      </c>
      <c r="C36" s="34" t="s">
        <v>201</v>
      </c>
      <c r="D36" s="35" t="s">
        <v>191</v>
      </c>
      <c r="E36" s="36"/>
      <c r="F36" s="37"/>
      <c r="G36" s="36"/>
      <c r="H36" s="37"/>
      <c r="I36" s="36"/>
      <c r="J36" s="37"/>
      <c r="K36" s="36"/>
      <c r="L36" s="37"/>
      <c r="M36" s="38" t="s">
        <v>336</v>
      </c>
      <c r="N36" s="39" t="str">
        <f>IF(OR(NOT(ISNUMBER(K36)),K36=0),"",ROUND(K36*(1+Settings!$B$11),0))</f>
        <v/>
      </c>
      <c r="O36" s="39" t="str">
        <f>IF(OR(NOT(ISNUMBER(K36)),K36=0),"",ROUND(K36*(1+Settings!$C$11),0))</f>
        <v/>
      </c>
      <c r="P36" s="40" t="s">
        <v>17</v>
      </c>
    </row>
    <row r="37" ht="15.75" customHeight="1"/>
    <row r="38" ht="15.75" customHeight="1"/>
    <row r="39" ht="21.75" customHeight="1">
      <c r="A39" s="15" t="s">
        <v>123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ht="18.0" customHeight="1">
      <c r="A40" s="19" t="s">
        <v>39</v>
      </c>
      <c r="B40" s="20"/>
      <c r="C40" s="20"/>
      <c r="D40" s="20"/>
      <c r="E40" s="20"/>
      <c r="F40" s="20"/>
      <c r="G40" s="21"/>
      <c r="H40" s="19" t="s">
        <v>40</v>
      </c>
      <c r="I40" s="20"/>
      <c r="J40" s="21"/>
      <c r="K40" s="19" t="s">
        <v>124</v>
      </c>
      <c r="L40" s="20"/>
      <c r="M40" s="20"/>
      <c r="N40" s="20"/>
      <c r="O40" s="20"/>
      <c r="P40" s="21"/>
    </row>
    <row r="41" ht="21.75" customHeight="1">
      <c r="A41" s="22" t="s">
        <v>125</v>
      </c>
      <c r="B41" s="20"/>
      <c r="C41" s="20"/>
      <c r="D41" s="20"/>
      <c r="E41" s="20"/>
      <c r="F41" s="20"/>
      <c r="G41" s="21"/>
      <c r="H41" s="22" t="s">
        <v>126</v>
      </c>
      <c r="I41" s="20"/>
      <c r="J41" s="21"/>
      <c r="K41" s="23" t="s">
        <v>337</v>
      </c>
      <c r="L41" s="20"/>
      <c r="M41" s="20"/>
      <c r="N41" s="20"/>
      <c r="O41" s="20"/>
      <c r="P41" s="21"/>
    </row>
    <row r="42" ht="21.75" customHeight="1">
      <c r="A42" s="24" t="s">
        <v>165</v>
      </c>
      <c r="B42" s="20"/>
      <c r="C42" s="20"/>
      <c r="D42" s="20"/>
      <c r="E42" s="20"/>
      <c r="F42" s="20"/>
      <c r="G42" s="21"/>
      <c r="H42" s="24" t="s">
        <v>166</v>
      </c>
      <c r="I42" s="20"/>
      <c r="J42" s="21"/>
      <c r="K42" s="25" t="s">
        <v>231</v>
      </c>
      <c r="L42" s="20"/>
      <c r="M42" s="20"/>
      <c r="N42" s="20"/>
      <c r="O42" s="20"/>
      <c r="P42" s="21"/>
    </row>
    <row r="43" ht="21.75" customHeight="1">
      <c r="A43" s="22" t="s">
        <v>289</v>
      </c>
      <c r="B43" s="20"/>
      <c r="C43" s="20"/>
      <c r="D43" s="20"/>
      <c r="E43" s="20"/>
      <c r="F43" s="20"/>
      <c r="G43" s="21"/>
      <c r="H43" s="22" t="s">
        <v>172</v>
      </c>
      <c r="I43" s="20"/>
      <c r="J43" s="21"/>
      <c r="K43" s="23" t="s">
        <v>290</v>
      </c>
      <c r="L43" s="20"/>
      <c r="M43" s="20"/>
      <c r="N43" s="20"/>
      <c r="O43" s="20"/>
      <c r="P43" s="2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G29:H29"/>
    <mergeCell ref="I29:J29"/>
    <mergeCell ref="K29:L29"/>
    <mergeCell ref="M29:M30"/>
    <mergeCell ref="N29:O29"/>
    <mergeCell ref="P29:P30"/>
    <mergeCell ref="A22:P22"/>
    <mergeCell ref="A28:P28"/>
    <mergeCell ref="A29:A30"/>
    <mergeCell ref="B29:B30"/>
    <mergeCell ref="C29:C30"/>
    <mergeCell ref="D29:D30"/>
    <mergeCell ref="E29:F29"/>
    <mergeCell ref="A42:G42"/>
    <mergeCell ref="H42:J42"/>
    <mergeCell ref="K42:P42"/>
    <mergeCell ref="A43:G43"/>
    <mergeCell ref="H43:J43"/>
    <mergeCell ref="K43:P43"/>
    <mergeCell ref="A39:P39"/>
    <mergeCell ref="A40:G40"/>
    <mergeCell ref="H40:J40"/>
    <mergeCell ref="K40:P40"/>
    <mergeCell ref="A41:G41"/>
    <mergeCell ref="H41:J41"/>
    <mergeCell ref="K41:P41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A18:G18"/>
    <mergeCell ref="H18:J18"/>
    <mergeCell ref="K18:P18"/>
    <mergeCell ref="A19:G19"/>
    <mergeCell ref="H19:J19"/>
    <mergeCell ref="K19:P19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338</v>
      </c>
    </row>
    <row r="2" ht="31.5" customHeight="1">
      <c r="A2" s="14" t="s">
        <v>339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45</v>
      </c>
      <c r="B7" s="20"/>
      <c r="C7" s="20"/>
      <c r="D7" s="20"/>
      <c r="E7" s="20"/>
      <c r="F7" s="20"/>
      <c r="G7" s="21"/>
      <c r="H7" s="24" t="s">
        <v>46</v>
      </c>
      <c r="I7" s="20"/>
      <c r="J7" s="21"/>
      <c r="K7" s="25" t="s">
        <v>47</v>
      </c>
      <c r="L7" s="20"/>
      <c r="M7" s="20"/>
      <c r="N7" s="20"/>
      <c r="O7" s="20"/>
      <c r="P7" s="21"/>
    </row>
    <row r="8" ht="18.0" customHeight="1">
      <c r="A8" s="22" t="s">
        <v>48</v>
      </c>
      <c r="B8" s="20"/>
      <c r="C8" s="20"/>
      <c r="D8" s="20"/>
      <c r="E8" s="20"/>
      <c r="F8" s="20"/>
      <c r="G8" s="21"/>
      <c r="H8" s="22" t="s">
        <v>49</v>
      </c>
      <c r="I8" s="20"/>
      <c r="J8" s="21"/>
      <c r="K8" s="23" t="s">
        <v>50</v>
      </c>
      <c r="L8" s="20"/>
      <c r="M8" s="20"/>
      <c r="N8" s="20"/>
      <c r="O8" s="20"/>
      <c r="P8" s="21"/>
    </row>
    <row r="9" ht="18.0" customHeight="1">
      <c r="A9" s="24" t="s">
        <v>340</v>
      </c>
      <c r="B9" s="20"/>
      <c r="C9" s="20"/>
      <c r="D9" s="20"/>
      <c r="E9" s="20"/>
      <c r="F9" s="20"/>
      <c r="G9" s="21"/>
      <c r="H9" s="24" t="s">
        <v>341</v>
      </c>
      <c r="I9" s="20"/>
      <c r="J9" s="21"/>
      <c r="K9" s="25" t="s">
        <v>342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7" t="s">
        <v>343</v>
      </c>
    </row>
    <row r="23" ht="18.0" customHeight="1">
      <c r="A23" s="19" t="s">
        <v>83</v>
      </c>
      <c r="B23" s="20"/>
      <c r="C23" s="20"/>
      <c r="D23" s="20"/>
      <c r="E23" s="20"/>
      <c r="F23" s="20"/>
      <c r="G23" s="21"/>
      <c r="H23" s="19" t="s">
        <v>40</v>
      </c>
      <c r="I23" s="20"/>
      <c r="J23" s="21"/>
      <c r="K23" s="19" t="s">
        <v>41</v>
      </c>
      <c r="L23" s="20"/>
      <c r="M23" s="20"/>
      <c r="N23" s="20"/>
      <c r="O23" s="20"/>
      <c r="P23" s="21"/>
    </row>
    <row r="24" ht="21.75" customHeight="1">
      <c r="A24" s="28" t="s">
        <v>344</v>
      </c>
      <c r="B24" s="20"/>
      <c r="C24" s="20"/>
      <c r="D24" s="20"/>
      <c r="E24" s="20"/>
      <c r="F24" s="20"/>
      <c r="G24" s="21"/>
      <c r="H24" s="22" t="s">
        <v>85</v>
      </c>
      <c r="I24" s="20"/>
      <c r="J24" s="21"/>
      <c r="K24" s="23" t="s">
        <v>345</v>
      </c>
      <c r="L24" s="20"/>
      <c r="M24" s="20"/>
      <c r="N24" s="20"/>
      <c r="O24" s="20"/>
      <c r="P24" s="21"/>
    </row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346</v>
      </c>
      <c r="F29" s="21"/>
      <c r="G29" s="31" t="s">
        <v>347</v>
      </c>
      <c r="H29" s="21"/>
      <c r="I29" s="31" t="s">
        <v>348</v>
      </c>
      <c r="J29" s="21"/>
      <c r="K29" s="31" t="s">
        <v>349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350</v>
      </c>
      <c r="B31" s="34" t="s">
        <v>142</v>
      </c>
      <c r="C31" s="34" t="s">
        <v>351</v>
      </c>
      <c r="D31" s="35" t="s">
        <v>352</v>
      </c>
      <c r="E31" s="36"/>
      <c r="F31" s="37"/>
      <c r="G31" s="36"/>
      <c r="H31" s="37"/>
      <c r="I31" s="36"/>
      <c r="J31" s="37"/>
      <c r="K31" s="36"/>
      <c r="L31" s="37"/>
      <c r="M31" s="38" t="s">
        <v>353</v>
      </c>
      <c r="N31" s="39" t="str">
        <f>IF(OR(NOT(ISNUMBER(K31)),K31=0),"",ROUND(K31*(1+Settings!$B$9),0))</f>
        <v/>
      </c>
      <c r="O31" s="39" t="str">
        <f>IF(OR(NOT(ISNUMBER(K31)),K31=0),"",ROUND(K31*(1+Settings!$C$9),0))</f>
        <v/>
      </c>
      <c r="P31" s="40" t="s">
        <v>13</v>
      </c>
    </row>
    <row r="32" ht="36.0" customHeight="1">
      <c r="A32" s="33" t="s">
        <v>354</v>
      </c>
      <c r="B32" s="34" t="s">
        <v>142</v>
      </c>
      <c r="C32" s="34" t="s">
        <v>143</v>
      </c>
      <c r="D32" s="35" t="s">
        <v>355</v>
      </c>
      <c r="E32" s="36"/>
      <c r="F32" s="37"/>
      <c r="G32" s="36"/>
      <c r="H32" s="37"/>
      <c r="I32" s="36"/>
      <c r="J32" s="37"/>
      <c r="K32" s="36"/>
      <c r="L32" s="37"/>
      <c r="M32" s="38" t="s">
        <v>356</v>
      </c>
      <c r="N32" s="39" t="str">
        <f>IF(OR(NOT(ISNUMBER(K32)),K32=0),"",ROUND(K32*(1+Settings!$B$6),0))</f>
        <v/>
      </c>
      <c r="O32" s="39" t="str">
        <f>IF(OR(NOT(ISNUMBER(K32)),K32=0),"",ROUND(K32*(1+Settings!$C$6),0))</f>
        <v/>
      </c>
      <c r="P32" s="40" t="s">
        <v>7</v>
      </c>
    </row>
    <row r="33" ht="36.0" customHeight="1">
      <c r="A33" s="33" t="s">
        <v>223</v>
      </c>
      <c r="B33" s="34" t="s">
        <v>102</v>
      </c>
      <c r="C33" s="34" t="s">
        <v>52</v>
      </c>
      <c r="D33" s="35" t="s">
        <v>357</v>
      </c>
      <c r="E33" s="36"/>
      <c r="F33" s="37"/>
      <c r="G33" s="36"/>
      <c r="H33" s="37"/>
      <c r="I33" s="36"/>
      <c r="J33" s="37"/>
      <c r="K33" s="36"/>
      <c r="L33" s="37"/>
      <c r="M33" s="38" t="s">
        <v>358</v>
      </c>
      <c r="N33" s="39" t="str">
        <f>IF(OR(NOT(ISNUMBER(K33)),K33=0),"",ROUND(K33*(1+Settings!$B$8),0))</f>
        <v/>
      </c>
      <c r="O33" s="39" t="str">
        <f>IF(OR(NOT(ISNUMBER(K33)),K33=0),"",ROUND(K33*(1+Settings!$C$8),0))</f>
        <v/>
      </c>
      <c r="P33" s="40" t="s">
        <v>11</v>
      </c>
    </row>
    <row r="34" ht="36.0" customHeight="1">
      <c r="A34" s="33" t="s">
        <v>359</v>
      </c>
      <c r="B34" s="34" t="s">
        <v>102</v>
      </c>
      <c r="C34" s="34" t="s">
        <v>49</v>
      </c>
      <c r="D34" s="35" t="s">
        <v>112</v>
      </c>
      <c r="E34" s="36"/>
      <c r="F34" s="37"/>
      <c r="G34" s="36"/>
      <c r="H34" s="37"/>
      <c r="I34" s="36"/>
      <c r="J34" s="37"/>
      <c r="K34" s="36"/>
      <c r="L34" s="37"/>
      <c r="M34" s="38" t="s">
        <v>360</v>
      </c>
      <c r="N34" s="39" t="str">
        <f>IF(OR(NOT(ISNUMBER(K34)),K34=0),"",ROUND(K34*(1+Settings!$B$7),0))</f>
        <v/>
      </c>
      <c r="O34" s="39" t="str">
        <f>IF(OR(NOT(ISNUMBER(K34)),K34=0),"",ROUND(K34*(1+Settings!$C$7),0))</f>
        <v/>
      </c>
      <c r="P34" s="40" t="s">
        <v>9</v>
      </c>
    </row>
    <row r="35" ht="36.0" customHeight="1">
      <c r="A35" s="33" t="s">
        <v>361</v>
      </c>
      <c r="B35" s="34" t="s">
        <v>142</v>
      </c>
      <c r="C35" s="34" t="s">
        <v>332</v>
      </c>
      <c r="D35" s="35" t="s">
        <v>362</v>
      </c>
      <c r="E35" s="36"/>
      <c r="F35" s="37"/>
      <c r="G35" s="36"/>
      <c r="H35" s="37"/>
      <c r="I35" s="36"/>
      <c r="J35" s="37"/>
      <c r="K35" s="36"/>
      <c r="L35" s="37"/>
      <c r="M35" s="38" t="s">
        <v>363</v>
      </c>
      <c r="N35" s="34" t="s">
        <v>118</v>
      </c>
      <c r="O35" s="34" t="s">
        <v>118</v>
      </c>
      <c r="P35" s="40" t="s">
        <v>15</v>
      </c>
    </row>
    <row r="36" ht="36.0" customHeight="1">
      <c r="A36" s="33" t="s">
        <v>364</v>
      </c>
      <c r="B36" s="34" t="s">
        <v>102</v>
      </c>
      <c r="C36" s="34" t="s">
        <v>201</v>
      </c>
      <c r="D36" s="35" t="s">
        <v>191</v>
      </c>
      <c r="E36" s="36"/>
      <c r="F36" s="37"/>
      <c r="G36" s="36"/>
      <c r="H36" s="37"/>
      <c r="I36" s="36"/>
      <c r="J36" s="37"/>
      <c r="K36" s="36"/>
      <c r="L36" s="37"/>
      <c r="M36" s="38" t="s">
        <v>365</v>
      </c>
      <c r="N36" s="39" t="str">
        <f>IF(OR(NOT(ISNUMBER(K36)),K36=0),"",ROUND(K36*(1+Settings!$B$11),0))</f>
        <v/>
      </c>
      <c r="O36" s="39" t="str">
        <f>IF(OR(NOT(ISNUMBER(K36)),K36=0),"",ROUND(K36*(1+Settings!$C$11),0))</f>
        <v/>
      </c>
      <c r="P36" s="40" t="s">
        <v>17</v>
      </c>
    </row>
    <row r="37" ht="15.75" customHeight="1"/>
    <row r="38" ht="15.75" customHeight="1"/>
    <row r="39" ht="21.75" customHeight="1">
      <c r="A39" s="15" t="s">
        <v>123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ht="18.0" customHeight="1">
      <c r="A40" s="19" t="s">
        <v>39</v>
      </c>
      <c r="B40" s="20"/>
      <c r="C40" s="20"/>
      <c r="D40" s="20"/>
      <c r="E40" s="20"/>
      <c r="F40" s="20"/>
      <c r="G40" s="21"/>
      <c r="H40" s="19" t="s">
        <v>40</v>
      </c>
      <c r="I40" s="20"/>
      <c r="J40" s="21"/>
      <c r="K40" s="19" t="s">
        <v>124</v>
      </c>
      <c r="L40" s="20"/>
      <c r="M40" s="20"/>
      <c r="N40" s="20"/>
      <c r="O40" s="20"/>
      <c r="P40" s="21"/>
    </row>
    <row r="41" ht="21.75" customHeight="1">
      <c r="A41" s="22" t="s">
        <v>125</v>
      </c>
      <c r="B41" s="20"/>
      <c r="C41" s="20"/>
      <c r="D41" s="20"/>
      <c r="E41" s="20"/>
      <c r="F41" s="20"/>
      <c r="G41" s="21"/>
      <c r="H41" s="22" t="s">
        <v>126</v>
      </c>
      <c r="I41" s="20"/>
      <c r="J41" s="21"/>
      <c r="K41" s="23" t="s">
        <v>366</v>
      </c>
      <c r="L41" s="20"/>
      <c r="M41" s="20"/>
      <c r="N41" s="20"/>
      <c r="O41" s="20"/>
      <c r="P41" s="21"/>
    </row>
    <row r="42" ht="21.75" customHeight="1">
      <c r="A42" s="24" t="s">
        <v>128</v>
      </c>
      <c r="B42" s="20"/>
      <c r="C42" s="20"/>
      <c r="D42" s="20"/>
      <c r="E42" s="20"/>
      <c r="F42" s="20"/>
      <c r="G42" s="21"/>
      <c r="H42" s="24" t="s">
        <v>129</v>
      </c>
      <c r="I42" s="20"/>
      <c r="J42" s="21"/>
      <c r="K42" s="25" t="s">
        <v>130</v>
      </c>
      <c r="L42" s="20"/>
      <c r="M42" s="20"/>
      <c r="N42" s="20"/>
      <c r="O42" s="20"/>
      <c r="P42" s="21"/>
    </row>
    <row r="43" ht="21.75" customHeight="1">
      <c r="A43" s="22" t="s">
        <v>367</v>
      </c>
      <c r="B43" s="20"/>
      <c r="C43" s="20"/>
      <c r="D43" s="20"/>
      <c r="E43" s="20"/>
      <c r="F43" s="20"/>
      <c r="G43" s="21"/>
      <c r="H43" s="22" t="s">
        <v>368</v>
      </c>
      <c r="I43" s="20"/>
      <c r="J43" s="21"/>
      <c r="K43" s="23" t="s">
        <v>369</v>
      </c>
      <c r="L43" s="20"/>
      <c r="M43" s="20"/>
      <c r="N43" s="20"/>
      <c r="O43" s="20"/>
      <c r="P43" s="21"/>
    </row>
    <row r="44" ht="15.75" customHeight="1"/>
    <row r="45" ht="15.75" customHeight="1">
      <c r="A45" s="8" t="s">
        <v>370</v>
      </c>
    </row>
    <row r="46" ht="15.75" customHeight="1">
      <c r="A46" s="3" t="s">
        <v>371</v>
      </c>
      <c r="B46" s="3" t="s">
        <v>372</v>
      </c>
      <c r="C46" s="3" t="s">
        <v>373</v>
      </c>
      <c r="D46" s="3" t="s">
        <v>374</v>
      </c>
      <c r="E46" s="3" t="s">
        <v>375</v>
      </c>
    </row>
    <row r="47" ht="27.75" customHeight="1">
      <c r="A47" s="33" t="s">
        <v>350</v>
      </c>
      <c r="B47" s="13" t="s">
        <v>101</v>
      </c>
      <c r="C47" s="43" t="str">
        <f>IF(ISNUMBER(M1D1!K31),M1D1!K31,"")</f>
        <v/>
      </c>
      <c r="D47" s="39" t="str">
        <f>IF(OR(NOT(ISNUMBER(M1D1!K31)),M1D1!K31=0),"",ROUND(M1D1!K31*(1+Settings!$B$9),0))</f>
        <v/>
      </c>
      <c r="E47" s="39" t="str">
        <f>IF(OR(NOT(ISNUMBER(M1D1!K31)),M1D1!K31=0),"",ROUND(M1D1!K31*(1+Settings!$C$9),0))</f>
        <v/>
      </c>
    </row>
    <row r="48" ht="27.75" customHeight="1">
      <c r="A48" s="33" t="s">
        <v>354</v>
      </c>
      <c r="B48" s="13" t="s">
        <v>105</v>
      </c>
      <c r="C48" s="43" t="str">
        <f>IF(ISNUMBER(M1D1!K32),M1D1!K32,"")</f>
        <v/>
      </c>
      <c r="D48" s="39" t="str">
        <f>IF(OR(NOT(ISNUMBER(M1D1!K32)),M1D1!K32=0),"",ROUND(M1D1!K32*(1+Settings!$B$6),0))</f>
        <v/>
      </c>
      <c r="E48" s="39" t="str">
        <f>IF(OR(NOT(ISNUMBER(M1D1!K32)),M1D1!K32=0),"",ROUND(M1D1!K32*(1+Settings!$C$6),0))</f>
        <v/>
      </c>
    </row>
    <row r="49" ht="27.75" customHeight="1">
      <c r="A49" s="33" t="s">
        <v>223</v>
      </c>
      <c r="B49" s="13" t="s">
        <v>111</v>
      </c>
      <c r="C49" s="43" t="str">
        <f>IF(ISNUMBER(M1D1!K34),M1D1!K34,"")</f>
        <v/>
      </c>
      <c r="D49" s="39" t="str">
        <f>IF(OR(NOT(ISNUMBER(M1D1!K34)),M1D1!K34=0),"",ROUND(M1D1!K34*(1+Settings!$B$8),0))</f>
        <v/>
      </c>
      <c r="E49" s="39" t="str">
        <f>IF(OR(NOT(ISNUMBER(M1D1!K34)),M1D1!K34=0),"",ROUND(M1D1!K34*(1+Settings!$C$8),0))</f>
        <v/>
      </c>
    </row>
    <row r="50" ht="27.75" customHeight="1">
      <c r="A50" s="33" t="s">
        <v>359</v>
      </c>
      <c r="B50" s="13" t="s">
        <v>109</v>
      </c>
      <c r="C50" s="43" t="str">
        <f>IF(ISNUMBER(M1D1!K33),M1D1!K33,"")</f>
        <v/>
      </c>
      <c r="D50" s="39" t="str">
        <f>IF(OR(NOT(ISNUMBER(M1D1!K33)),M1D1!K33=0),"",ROUND(M1D1!K33*(1+Settings!$B$7),0))</f>
        <v/>
      </c>
      <c r="E50" s="39" t="str">
        <f>IF(OR(NOT(ISNUMBER(M1D1!K33)),M1D1!K33=0),"",ROUND(M1D1!K33*(1+Settings!$C$7),0))</f>
        <v/>
      </c>
    </row>
    <row r="51" ht="27.75" customHeight="1">
      <c r="A51" s="33" t="s">
        <v>361</v>
      </c>
      <c r="B51" s="13" t="s">
        <v>114</v>
      </c>
      <c r="C51" s="43" t="str">
        <f>IF(ISNUMBER(M1D1!K35),M1D1!K35,"")</f>
        <v/>
      </c>
      <c r="D51" s="34" t="s">
        <v>118</v>
      </c>
      <c r="E51" s="34" t="s">
        <v>118</v>
      </c>
    </row>
    <row r="52" ht="27.75" customHeight="1">
      <c r="A52" s="33" t="s">
        <v>364</v>
      </c>
      <c r="B52" s="13" t="s">
        <v>119</v>
      </c>
      <c r="C52" s="43" t="str">
        <f>IF(ISNUMBER(M1D1!K36),M1D1!K36,"")</f>
        <v/>
      </c>
      <c r="D52" s="39" t="str">
        <f>IF(OR(NOT(ISNUMBER(M1D1!K36)),M1D1!K36=0),"",ROUND(M1D1!K36*(1+Settings!$B$11),0))</f>
        <v/>
      </c>
      <c r="E52" s="39" t="str">
        <f>IF(OR(NOT(ISNUMBER(M1D1!K36)),M1D1!K36=0),"",ROUND(M1D1!K36*(1+Settings!$C$11),0))</f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1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A18:G18"/>
    <mergeCell ref="H18:J18"/>
    <mergeCell ref="K18:P18"/>
    <mergeCell ref="A19:G19"/>
    <mergeCell ref="H19:J19"/>
    <mergeCell ref="K19:P19"/>
    <mergeCell ref="A21:P21"/>
    <mergeCell ref="A22:P22"/>
    <mergeCell ref="A23:G23"/>
    <mergeCell ref="H23:J23"/>
    <mergeCell ref="K23:P23"/>
    <mergeCell ref="A24:G24"/>
    <mergeCell ref="H24:J24"/>
    <mergeCell ref="K24:P24"/>
    <mergeCell ref="M29:M30"/>
    <mergeCell ref="N29:O29"/>
    <mergeCell ref="A28:P28"/>
    <mergeCell ref="A29:A30"/>
    <mergeCell ref="B29:B30"/>
    <mergeCell ref="C29:C30"/>
    <mergeCell ref="D29:D30"/>
    <mergeCell ref="E29:F29"/>
    <mergeCell ref="G29:H29"/>
    <mergeCell ref="A41:G41"/>
    <mergeCell ref="A42:G42"/>
    <mergeCell ref="H42:J42"/>
    <mergeCell ref="K42:P42"/>
    <mergeCell ref="A43:G43"/>
    <mergeCell ref="H43:J43"/>
    <mergeCell ref="K43:P43"/>
    <mergeCell ref="A45:P45"/>
    <mergeCell ref="P29:P30"/>
    <mergeCell ref="A39:P39"/>
    <mergeCell ref="A40:G40"/>
    <mergeCell ref="H40:J40"/>
    <mergeCell ref="K40:P40"/>
    <mergeCell ref="H41:J41"/>
    <mergeCell ref="K41:P41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I29:J29"/>
    <mergeCell ref="K29:L29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376</v>
      </c>
    </row>
    <row r="2" ht="31.5" customHeight="1">
      <c r="A2" s="14" t="s">
        <v>377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135</v>
      </c>
      <c r="B7" s="20"/>
      <c r="C7" s="20"/>
      <c r="D7" s="20"/>
      <c r="E7" s="20"/>
      <c r="F7" s="20"/>
      <c r="G7" s="21"/>
      <c r="H7" s="24" t="s">
        <v>136</v>
      </c>
      <c r="I7" s="20"/>
      <c r="J7" s="21"/>
      <c r="K7" s="25" t="s">
        <v>137</v>
      </c>
      <c r="L7" s="20"/>
      <c r="M7" s="20"/>
      <c r="N7" s="20"/>
      <c r="O7" s="20"/>
      <c r="P7" s="21"/>
    </row>
    <row r="8" ht="18.0" customHeight="1">
      <c r="A8" s="22" t="s">
        <v>51</v>
      </c>
      <c r="B8" s="20"/>
      <c r="C8" s="20"/>
      <c r="D8" s="20"/>
      <c r="E8" s="20"/>
      <c r="F8" s="20"/>
      <c r="G8" s="21"/>
      <c r="H8" s="22" t="s">
        <v>52</v>
      </c>
      <c r="I8" s="20"/>
      <c r="J8" s="21"/>
      <c r="K8" s="23" t="s">
        <v>53</v>
      </c>
      <c r="L8" s="20"/>
      <c r="M8" s="20"/>
      <c r="N8" s="20"/>
      <c r="O8" s="20"/>
      <c r="P8" s="21"/>
    </row>
    <row r="9" ht="18.0" customHeight="1">
      <c r="A9" s="24" t="s">
        <v>138</v>
      </c>
      <c r="B9" s="20"/>
      <c r="C9" s="20"/>
      <c r="D9" s="20"/>
      <c r="E9" s="20"/>
      <c r="F9" s="20"/>
      <c r="G9" s="21"/>
      <c r="H9" s="24" t="s">
        <v>49</v>
      </c>
      <c r="I9" s="20"/>
      <c r="J9" s="21"/>
      <c r="K9" s="25" t="s">
        <v>139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346</v>
      </c>
      <c r="F29" s="21"/>
      <c r="G29" s="31" t="s">
        <v>347</v>
      </c>
      <c r="H29" s="21"/>
      <c r="I29" s="31" t="s">
        <v>348</v>
      </c>
      <c r="J29" s="21"/>
      <c r="K29" s="31" t="s">
        <v>349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141</v>
      </c>
      <c r="B31" s="34" t="s">
        <v>143</v>
      </c>
      <c r="C31" s="34" t="s">
        <v>378</v>
      </c>
      <c r="D31" s="35" t="s">
        <v>355</v>
      </c>
      <c r="E31" s="36"/>
      <c r="F31" s="37"/>
      <c r="G31" s="36"/>
      <c r="H31" s="37"/>
      <c r="I31" s="36"/>
      <c r="J31" s="37"/>
      <c r="K31" s="36"/>
      <c r="L31" s="37"/>
      <c r="M31" s="38" t="s">
        <v>379</v>
      </c>
      <c r="N31" s="39" t="str">
        <f>IF(OR(NOT(ISNUMBER(K31)),K31=0),"",ROUND(K31*(1+Settings!$B$6),0))</f>
        <v/>
      </c>
      <c r="O31" s="39" t="str">
        <f>IF(OR(NOT(ISNUMBER(K31)),K31=0),"",ROUND(K31*(1+Settings!$C$6),0))</f>
        <v/>
      </c>
      <c r="P31" s="40" t="s">
        <v>7</v>
      </c>
    </row>
    <row r="32" ht="36.0" customHeight="1">
      <c r="A32" s="33" t="s">
        <v>380</v>
      </c>
      <c r="B32" s="34" t="s">
        <v>142</v>
      </c>
      <c r="C32" s="34" t="s">
        <v>214</v>
      </c>
      <c r="D32" s="35" t="s">
        <v>355</v>
      </c>
      <c r="E32" s="36"/>
      <c r="F32" s="37"/>
      <c r="G32" s="36"/>
      <c r="H32" s="37"/>
      <c r="I32" s="36"/>
      <c r="J32" s="37"/>
      <c r="K32" s="36"/>
      <c r="L32" s="37"/>
      <c r="M32" s="38" t="s">
        <v>381</v>
      </c>
      <c r="N32" s="39" t="str">
        <f>IF(OR(NOT(ISNUMBER(K32)),K32=0),"",ROUND(K32*(1+Settings!$B$6),0))</f>
        <v/>
      </c>
      <c r="O32" s="39" t="str">
        <f>IF(OR(NOT(ISNUMBER(K32)),K32=0),"",ROUND(K32*(1+Settings!$C$6),0))</f>
        <v/>
      </c>
      <c r="P32" s="40" t="s">
        <v>7</v>
      </c>
    </row>
    <row r="33" ht="36.0" customHeight="1">
      <c r="A33" s="33" t="s">
        <v>382</v>
      </c>
      <c r="B33" s="34" t="s">
        <v>142</v>
      </c>
      <c r="C33" s="34" t="s">
        <v>49</v>
      </c>
      <c r="D33" s="35" t="s">
        <v>355</v>
      </c>
      <c r="E33" s="36"/>
      <c r="F33" s="37"/>
      <c r="G33" s="36"/>
      <c r="H33" s="37"/>
      <c r="I33" s="36"/>
      <c r="J33" s="37"/>
      <c r="K33" s="36"/>
      <c r="L33" s="37"/>
      <c r="M33" s="38" t="s">
        <v>383</v>
      </c>
      <c r="N33" s="39" t="str">
        <f>IF(OR(NOT(ISNUMBER(K33)),K33=0),"",ROUND(K33*(1+Settings!$B$8),0))</f>
        <v/>
      </c>
      <c r="O33" s="39" t="str">
        <f>IF(OR(NOT(ISNUMBER(K33)),K33=0),"",ROUND(K33*(1+Settings!$C$8),0))</f>
        <v/>
      </c>
      <c r="P33" s="40" t="s">
        <v>11</v>
      </c>
    </row>
    <row r="34" ht="36.0" customHeight="1">
      <c r="A34" s="33" t="s">
        <v>384</v>
      </c>
      <c r="B34" s="34" t="s">
        <v>102</v>
      </c>
      <c r="C34" s="34" t="s">
        <v>214</v>
      </c>
      <c r="D34" s="35" t="s">
        <v>385</v>
      </c>
      <c r="E34" s="36"/>
      <c r="F34" s="37"/>
      <c r="G34" s="36"/>
      <c r="H34" s="37"/>
      <c r="I34" s="36"/>
      <c r="J34" s="37"/>
      <c r="K34" s="36"/>
      <c r="L34" s="37"/>
      <c r="M34" s="38" t="s">
        <v>386</v>
      </c>
      <c r="N34" s="39" t="str">
        <f>IF(OR(NOT(ISNUMBER(K34)),K34=0),"",ROUND(K34*(1+Settings!$B$6),0))</f>
        <v/>
      </c>
      <c r="O34" s="39" t="str">
        <f>IF(OR(NOT(ISNUMBER(K34)),K34=0),"",ROUND(K34*(1+Settings!$C$6),0))</f>
        <v/>
      </c>
      <c r="P34" s="40" t="s">
        <v>7</v>
      </c>
    </row>
    <row r="35" ht="36.0" customHeight="1">
      <c r="A35" s="33" t="s">
        <v>387</v>
      </c>
      <c r="B35" s="34" t="s">
        <v>102</v>
      </c>
      <c r="C35" s="34" t="s">
        <v>143</v>
      </c>
      <c r="D35" s="35" t="s">
        <v>388</v>
      </c>
      <c r="E35" s="36"/>
      <c r="F35" s="37"/>
      <c r="G35" s="36"/>
      <c r="H35" s="37"/>
      <c r="I35" s="36"/>
      <c r="J35" s="37"/>
      <c r="K35" s="36"/>
      <c r="L35" s="37"/>
      <c r="M35" s="38" t="s">
        <v>389</v>
      </c>
      <c r="N35" s="34" t="s">
        <v>118</v>
      </c>
      <c r="O35" s="34" t="s">
        <v>118</v>
      </c>
      <c r="P35" s="40" t="s">
        <v>9</v>
      </c>
    </row>
    <row r="36" ht="36.0" customHeight="1">
      <c r="A36" s="33" t="s">
        <v>390</v>
      </c>
      <c r="B36" s="34" t="s">
        <v>102</v>
      </c>
      <c r="C36" s="34" t="s">
        <v>391</v>
      </c>
      <c r="D36" s="35" t="s">
        <v>392</v>
      </c>
      <c r="E36" s="36"/>
      <c r="F36" s="37"/>
      <c r="G36" s="36"/>
      <c r="H36" s="37"/>
      <c r="I36" s="36"/>
      <c r="J36" s="37"/>
      <c r="K36" s="36"/>
      <c r="L36" s="37"/>
      <c r="M36" s="38" t="s">
        <v>393</v>
      </c>
      <c r="N36" s="34" t="s">
        <v>118</v>
      </c>
      <c r="O36" s="34" t="s">
        <v>118</v>
      </c>
      <c r="P36" s="40" t="s">
        <v>17</v>
      </c>
    </row>
    <row r="37" ht="15.75" customHeight="1"/>
    <row r="38" ht="15.75" customHeight="1"/>
    <row r="39" ht="21.75" customHeight="1">
      <c r="A39" s="15" t="s">
        <v>123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ht="18.0" customHeight="1">
      <c r="A40" s="19" t="s">
        <v>39</v>
      </c>
      <c r="B40" s="20"/>
      <c r="C40" s="20"/>
      <c r="D40" s="20"/>
      <c r="E40" s="20"/>
      <c r="F40" s="20"/>
      <c r="G40" s="21"/>
      <c r="H40" s="19" t="s">
        <v>40</v>
      </c>
      <c r="I40" s="20"/>
      <c r="J40" s="21"/>
      <c r="K40" s="19" t="s">
        <v>124</v>
      </c>
      <c r="L40" s="20"/>
      <c r="M40" s="20"/>
      <c r="N40" s="20"/>
      <c r="O40" s="20"/>
      <c r="P40" s="21"/>
    </row>
    <row r="41" ht="21.75" customHeight="1">
      <c r="A41" s="22" t="s">
        <v>165</v>
      </c>
      <c r="B41" s="20"/>
      <c r="C41" s="20"/>
      <c r="D41" s="20"/>
      <c r="E41" s="20"/>
      <c r="F41" s="20"/>
      <c r="G41" s="21"/>
      <c r="H41" s="22" t="s">
        <v>166</v>
      </c>
      <c r="I41" s="20"/>
      <c r="J41" s="21"/>
      <c r="K41" s="23" t="s">
        <v>394</v>
      </c>
      <c r="L41" s="20"/>
      <c r="M41" s="20"/>
      <c r="N41" s="20"/>
      <c r="O41" s="20"/>
      <c r="P41" s="21"/>
    </row>
    <row r="42" ht="21.75" customHeight="1">
      <c r="A42" s="24" t="s">
        <v>168</v>
      </c>
      <c r="B42" s="20"/>
      <c r="C42" s="20"/>
      <c r="D42" s="20"/>
      <c r="E42" s="20"/>
      <c r="F42" s="20"/>
      <c r="G42" s="21"/>
      <c r="H42" s="24" t="s">
        <v>169</v>
      </c>
      <c r="I42" s="20"/>
      <c r="J42" s="21"/>
      <c r="K42" s="25" t="s">
        <v>395</v>
      </c>
      <c r="L42" s="20"/>
      <c r="M42" s="20"/>
      <c r="N42" s="20"/>
      <c r="O42" s="20"/>
      <c r="P42" s="21"/>
    </row>
    <row r="43" ht="21.75" customHeight="1">
      <c r="A43" s="22" t="s">
        <v>131</v>
      </c>
      <c r="B43" s="20"/>
      <c r="C43" s="20"/>
      <c r="D43" s="20"/>
      <c r="E43" s="20"/>
      <c r="F43" s="20"/>
      <c r="G43" s="21"/>
      <c r="H43" s="22" t="s">
        <v>65</v>
      </c>
      <c r="I43" s="20"/>
      <c r="J43" s="21"/>
      <c r="K43" s="23" t="s">
        <v>269</v>
      </c>
      <c r="L43" s="20"/>
      <c r="M43" s="20"/>
      <c r="N43" s="20"/>
      <c r="O43" s="20"/>
      <c r="P43" s="21"/>
    </row>
    <row r="44" ht="15.75" customHeight="1"/>
    <row r="45" ht="15.75" customHeight="1">
      <c r="A45" s="8" t="s">
        <v>396</v>
      </c>
    </row>
    <row r="46" ht="15.75" customHeight="1">
      <c r="A46" s="3" t="s">
        <v>371</v>
      </c>
      <c r="B46" s="3" t="s">
        <v>397</v>
      </c>
      <c r="C46" s="3" t="s">
        <v>373</v>
      </c>
      <c r="D46" s="3" t="s">
        <v>374</v>
      </c>
      <c r="E46" s="3" t="s">
        <v>375</v>
      </c>
    </row>
    <row r="47" ht="27.75" customHeight="1">
      <c r="A47" s="33" t="s">
        <v>141</v>
      </c>
      <c r="B47" s="13" t="s">
        <v>141</v>
      </c>
      <c r="C47" s="43" t="str">
        <f>IF(ISNUMBER(M1D2!K31),M1D2!K31,"")</f>
        <v/>
      </c>
      <c r="D47" s="39" t="str">
        <f>IF(OR(NOT(ISNUMBER(M1D2!K31)),M1D2!K31=0),"",ROUND(M1D2!K31*(1+Settings!$B$6),0))</f>
        <v/>
      </c>
      <c r="E47" s="39" t="str">
        <f>IF(OR(NOT(ISNUMBER(M1D2!K31)),M1D2!K31=0),"",ROUND(M1D2!K31*(1+Settings!$C$6),0))</f>
        <v/>
      </c>
    </row>
    <row r="48" ht="27.75" customHeight="1">
      <c r="A48" s="33" t="s">
        <v>380</v>
      </c>
      <c r="B48" s="13" t="s">
        <v>146</v>
      </c>
      <c r="C48" s="43" t="str">
        <f>IF(ISNUMBER(M1D2!K32),M1D2!K32,"")</f>
        <v/>
      </c>
      <c r="D48" s="39" t="str">
        <f>IF(OR(NOT(ISNUMBER(M1D2!K32)),M1D2!K32=0),"",ROUND(M1D2!K32*(1+Settings!$B$6),0))</f>
        <v/>
      </c>
      <c r="E48" s="39" t="str">
        <f>IF(OR(NOT(ISNUMBER(M1D2!K32)),M1D2!K32=0),"",ROUND(M1D2!K32*(1+Settings!$C$6),0))</f>
        <v/>
      </c>
    </row>
    <row r="49" ht="27.75" customHeight="1">
      <c r="A49" s="33" t="s">
        <v>382</v>
      </c>
      <c r="B49" s="13" t="s">
        <v>154</v>
      </c>
      <c r="C49" s="43" t="str">
        <f>IF(ISNUMBER(M1D2!K34),M1D2!K34,"")</f>
        <v/>
      </c>
      <c r="D49" s="39" t="str">
        <f>IF(OR(NOT(ISNUMBER(M1D2!K34)),M1D2!K34=0),"",ROUND(M1D2!K34*(1+Settings!$B$8),0))</f>
        <v/>
      </c>
      <c r="E49" s="39" t="str">
        <f>IF(OR(NOT(ISNUMBER(M1D2!K34)),M1D2!K34=0),"",ROUND(M1D2!K34*(1+Settings!$C$8),0))</f>
        <v/>
      </c>
    </row>
    <row r="50" ht="27.75" customHeight="1">
      <c r="A50" s="33" t="s">
        <v>384</v>
      </c>
      <c r="B50" s="13" t="s">
        <v>150</v>
      </c>
      <c r="C50" s="43" t="str">
        <f>IF(ISNUMBER(M1D2!K33),M1D2!K33,"")</f>
        <v/>
      </c>
      <c r="D50" s="39" t="str">
        <f>IF(OR(NOT(ISNUMBER(M1D2!K33)),M1D2!K33=0),"",ROUND(M1D2!K33*(1+Settings!$B$6),0))</f>
        <v/>
      </c>
      <c r="E50" s="39" t="str">
        <f>IF(OR(NOT(ISNUMBER(M1D2!K33)),M1D2!K33=0),"",ROUND(M1D2!K33*(1+Settings!$C$6),0))</f>
        <v/>
      </c>
    </row>
    <row r="51" ht="27.75" customHeight="1">
      <c r="A51" s="33" t="s">
        <v>387</v>
      </c>
      <c r="B51" s="13" t="s">
        <v>161</v>
      </c>
      <c r="C51" s="43" t="str">
        <f>IF(ISNUMBER(M1D2!K36),M1D2!K36,"")</f>
        <v/>
      </c>
      <c r="D51" s="34" t="s">
        <v>118</v>
      </c>
      <c r="E51" s="34" t="s">
        <v>118</v>
      </c>
    </row>
    <row r="52" ht="27.75" customHeight="1">
      <c r="A52" s="33" t="s">
        <v>390</v>
      </c>
      <c r="B52" s="44" t="s">
        <v>398</v>
      </c>
      <c r="C52" s="34" t="s">
        <v>118</v>
      </c>
      <c r="D52" s="34" t="s">
        <v>118</v>
      </c>
      <c r="E52" s="34" t="s">
        <v>118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G29:H29"/>
    <mergeCell ref="I29:J29"/>
    <mergeCell ref="K29:L29"/>
    <mergeCell ref="M29:M30"/>
    <mergeCell ref="N29:O29"/>
    <mergeCell ref="P29:P30"/>
    <mergeCell ref="A22:P22"/>
    <mergeCell ref="A28:P28"/>
    <mergeCell ref="A29:A30"/>
    <mergeCell ref="B29:B30"/>
    <mergeCell ref="C29:C30"/>
    <mergeCell ref="D29:D30"/>
    <mergeCell ref="E29:F29"/>
    <mergeCell ref="A42:G42"/>
    <mergeCell ref="H42:J42"/>
    <mergeCell ref="K42:P42"/>
    <mergeCell ref="A43:G43"/>
    <mergeCell ref="H43:J43"/>
    <mergeCell ref="K43:P43"/>
    <mergeCell ref="A45:P45"/>
    <mergeCell ref="A39:P39"/>
    <mergeCell ref="A40:G40"/>
    <mergeCell ref="H40:J40"/>
    <mergeCell ref="K40:P40"/>
    <mergeCell ref="A41:G41"/>
    <mergeCell ref="H41:J41"/>
    <mergeCell ref="K41:P41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A18:G18"/>
    <mergeCell ref="H18:J18"/>
    <mergeCell ref="K18:P18"/>
    <mergeCell ref="A19:G19"/>
    <mergeCell ref="H19:J19"/>
    <mergeCell ref="K19:P19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399</v>
      </c>
    </row>
    <row r="2" ht="31.5" customHeight="1">
      <c r="A2" s="14" t="s">
        <v>400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45</v>
      </c>
      <c r="B7" s="20"/>
      <c r="C7" s="20"/>
      <c r="D7" s="20"/>
      <c r="E7" s="20"/>
      <c r="F7" s="20"/>
      <c r="G7" s="21"/>
      <c r="H7" s="24" t="s">
        <v>46</v>
      </c>
      <c r="I7" s="20"/>
      <c r="J7" s="21"/>
      <c r="K7" s="25" t="s">
        <v>47</v>
      </c>
      <c r="L7" s="20"/>
      <c r="M7" s="20"/>
      <c r="N7" s="20"/>
      <c r="O7" s="20"/>
      <c r="P7" s="21"/>
    </row>
    <row r="8" ht="18.0" customHeight="1">
      <c r="A8" s="22" t="s">
        <v>178</v>
      </c>
      <c r="B8" s="20"/>
      <c r="C8" s="20"/>
      <c r="D8" s="20"/>
      <c r="E8" s="20"/>
      <c r="F8" s="20"/>
      <c r="G8" s="21"/>
      <c r="H8" s="22" t="s">
        <v>179</v>
      </c>
      <c r="I8" s="20"/>
      <c r="J8" s="21"/>
      <c r="K8" s="23" t="s">
        <v>180</v>
      </c>
      <c r="L8" s="20"/>
      <c r="M8" s="20"/>
      <c r="N8" s="20"/>
      <c r="O8" s="20"/>
      <c r="P8" s="21"/>
    </row>
    <row r="9" ht="18.0" customHeight="1">
      <c r="A9" s="24" t="s">
        <v>176</v>
      </c>
      <c r="B9" s="20"/>
      <c r="C9" s="20"/>
      <c r="D9" s="20"/>
      <c r="E9" s="20"/>
      <c r="F9" s="20"/>
      <c r="G9" s="21"/>
      <c r="H9" s="24" t="s">
        <v>65</v>
      </c>
      <c r="I9" s="20"/>
      <c r="J9" s="21"/>
      <c r="K9" s="25" t="s">
        <v>177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7" t="s">
        <v>401</v>
      </c>
    </row>
    <row r="23" ht="18.0" customHeight="1">
      <c r="A23" s="19" t="s">
        <v>83</v>
      </c>
      <c r="B23" s="20"/>
      <c r="C23" s="20"/>
      <c r="D23" s="20"/>
      <c r="E23" s="20"/>
      <c r="F23" s="20"/>
      <c r="G23" s="21"/>
      <c r="H23" s="19" t="s">
        <v>40</v>
      </c>
      <c r="I23" s="20"/>
      <c r="J23" s="21"/>
      <c r="K23" s="19" t="s">
        <v>41</v>
      </c>
      <c r="L23" s="20"/>
      <c r="M23" s="20"/>
      <c r="N23" s="20"/>
      <c r="O23" s="20"/>
      <c r="P23" s="21"/>
    </row>
    <row r="24" ht="21.75" customHeight="1">
      <c r="A24" s="28" t="s">
        <v>402</v>
      </c>
      <c r="B24" s="20"/>
      <c r="C24" s="20"/>
      <c r="D24" s="20"/>
      <c r="E24" s="20"/>
      <c r="F24" s="20"/>
      <c r="G24" s="21"/>
      <c r="H24" s="22" t="s">
        <v>403</v>
      </c>
      <c r="I24" s="20"/>
      <c r="J24" s="21"/>
      <c r="K24" s="23" t="s">
        <v>404</v>
      </c>
      <c r="L24" s="20"/>
      <c r="M24" s="20"/>
      <c r="N24" s="20"/>
      <c r="O24" s="20"/>
      <c r="P24" s="21"/>
    </row>
    <row r="25" ht="21.75" customHeight="1">
      <c r="A25" s="45" t="s">
        <v>405</v>
      </c>
      <c r="B25" s="20"/>
      <c r="C25" s="20"/>
      <c r="D25" s="20"/>
      <c r="E25" s="20"/>
      <c r="F25" s="20"/>
      <c r="G25" s="21"/>
      <c r="H25" s="24" t="s">
        <v>406</v>
      </c>
      <c r="I25" s="20"/>
      <c r="J25" s="21"/>
      <c r="K25" s="25" t="s">
        <v>407</v>
      </c>
      <c r="L25" s="20"/>
      <c r="M25" s="20"/>
      <c r="N25" s="20"/>
      <c r="O25" s="20"/>
      <c r="P25" s="21"/>
    </row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346</v>
      </c>
      <c r="F29" s="21"/>
      <c r="G29" s="31" t="s">
        <v>347</v>
      </c>
      <c r="H29" s="21"/>
      <c r="I29" s="31" t="s">
        <v>348</v>
      </c>
      <c r="J29" s="21"/>
      <c r="K29" s="31" t="s">
        <v>349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408</v>
      </c>
      <c r="B31" s="34" t="s">
        <v>142</v>
      </c>
      <c r="C31" s="34" t="s">
        <v>409</v>
      </c>
      <c r="D31" s="35" t="s">
        <v>352</v>
      </c>
      <c r="E31" s="36"/>
      <c r="F31" s="37"/>
      <c r="G31" s="36"/>
      <c r="H31" s="37"/>
      <c r="I31" s="36"/>
      <c r="J31" s="37"/>
      <c r="K31" s="36"/>
      <c r="L31" s="37"/>
      <c r="M31" s="38" t="s">
        <v>410</v>
      </c>
      <c r="N31" s="39" t="str">
        <f>IF(OR(NOT(ISNUMBER(K31)),K31=0),"",ROUND(K31*(1+Settings!$B$9),0))</f>
        <v/>
      </c>
      <c r="O31" s="39" t="str">
        <f>IF(OR(NOT(ISNUMBER(K31)),K31=0),"",ROUND(K31*(1+Settings!$C$9),0))</f>
        <v/>
      </c>
      <c r="P31" s="40" t="s">
        <v>13</v>
      </c>
    </row>
    <row r="32" ht="36.0" customHeight="1">
      <c r="A32" s="33" t="s">
        <v>411</v>
      </c>
      <c r="B32" s="34" t="s">
        <v>142</v>
      </c>
      <c r="C32" s="34" t="s">
        <v>143</v>
      </c>
      <c r="D32" s="35" t="s">
        <v>163</v>
      </c>
      <c r="E32" s="36"/>
      <c r="F32" s="37"/>
      <c r="G32" s="36"/>
      <c r="H32" s="37"/>
      <c r="I32" s="36"/>
      <c r="J32" s="37"/>
      <c r="K32" s="36"/>
      <c r="L32" s="37"/>
      <c r="M32" s="38" t="s">
        <v>412</v>
      </c>
      <c r="N32" s="34" t="s">
        <v>118</v>
      </c>
      <c r="O32" s="34" t="s">
        <v>118</v>
      </c>
      <c r="P32" s="40" t="s">
        <v>13</v>
      </c>
    </row>
    <row r="33" ht="36.0" customHeight="1">
      <c r="A33" s="33" t="s">
        <v>413</v>
      </c>
      <c r="B33" s="34" t="s">
        <v>102</v>
      </c>
      <c r="C33" s="34" t="s">
        <v>151</v>
      </c>
      <c r="D33" s="35" t="s">
        <v>324</v>
      </c>
      <c r="E33" s="36"/>
      <c r="F33" s="37"/>
      <c r="G33" s="36"/>
      <c r="H33" s="37"/>
      <c r="I33" s="36"/>
      <c r="J33" s="37"/>
      <c r="K33" s="36"/>
      <c r="L33" s="37"/>
      <c r="M33" s="38" t="s">
        <v>414</v>
      </c>
      <c r="N33" s="39" t="str">
        <f>IF(OR(NOT(ISNUMBER(K33)),K33=0),"",ROUND(K33*(1+Settings!$B$7),0))</f>
        <v/>
      </c>
      <c r="O33" s="39" t="str">
        <f>IF(OR(NOT(ISNUMBER(K33)),K33=0),"",ROUND(K33*(1+Settings!$C$7),0))</f>
        <v/>
      </c>
      <c r="P33" s="40" t="s">
        <v>9</v>
      </c>
    </row>
    <row r="34" ht="36.0" customHeight="1">
      <c r="A34" s="33" t="s">
        <v>415</v>
      </c>
      <c r="B34" s="34" t="s">
        <v>102</v>
      </c>
      <c r="C34" s="34" t="s">
        <v>120</v>
      </c>
      <c r="D34" s="35" t="s">
        <v>416</v>
      </c>
      <c r="E34" s="36"/>
      <c r="F34" s="37"/>
      <c r="G34" s="36"/>
      <c r="H34" s="37"/>
      <c r="I34" s="36"/>
      <c r="J34" s="37"/>
      <c r="K34" s="36"/>
      <c r="L34" s="37"/>
      <c r="M34" s="38" t="s">
        <v>417</v>
      </c>
      <c r="N34" s="39" t="str">
        <f>IF(OR(NOT(ISNUMBER(K34)),K34=0),"",ROUND(K34*(1+Settings!$B$7),0))</f>
        <v/>
      </c>
      <c r="O34" s="39" t="str">
        <f>IF(OR(NOT(ISNUMBER(K34)),K34=0),"",ROUND(K34*(1+Settings!$C$7),0))</f>
        <v/>
      </c>
      <c r="P34" s="40" t="s">
        <v>9</v>
      </c>
    </row>
    <row r="35" ht="36.0" customHeight="1">
      <c r="A35" s="33" t="s">
        <v>418</v>
      </c>
      <c r="B35" s="34" t="s">
        <v>196</v>
      </c>
      <c r="C35" s="34" t="s">
        <v>419</v>
      </c>
      <c r="D35" s="35" t="s">
        <v>420</v>
      </c>
      <c r="E35" s="36"/>
      <c r="F35" s="37"/>
      <c r="G35" s="36"/>
      <c r="H35" s="37"/>
      <c r="I35" s="36"/>
      <c r="J35" s="37"/>
      <c r="K35" s="36"/>
      <c r="L35" s="37"/>
      <c r="M35" s="38" t="s">
        <v>421</v>
      </c>
      <c r="N35" s="34" t="s">
        <v>118</v>
      </c>
      <c r="O35" s="34" t="s">
        <v>118</v>
      </c>
      <c r="P35" s="40" t="s">
        <v>15</v>
      </c>
    </row>
    <row r="36" ht="36.0" customHeight="1">
      <c r="A36" s="33" t="s">
        <v>422</v>
      </c>
      <c r="B36" s="34" t="s">
        <v>102</v>
      </c>
      <c r="C36" s="34" t="s">
        <v>423</v>
      </c>
      <c r="D36" s="35" t="s">
        <v>424</v>
      </c>
      <c r="E36" s="36"/>
      <c r="F36" s="37"/>
      <c r="G36" s="36"/>
      <c r="H36" s="37"/>
      <c r="I36" s="36"/>
      <c r="J36" s="37"/>
      <c r="K36" s="36"/>
      <c r="L36" s="37"/>
      <c r="M36" s="38" t="s">
        <v>425</v>
      </c>
      <c r="N36" s="39" t="str">
        <f>IF(OR(NOT(ISNUMBER(K36)),K36=0),"",ROUND(K36*(1+Settings!$B$7),0))</f>
        <v/>
      </c>
      <c r="O36" s="39" t="str">
        <f>IF(OR(NOT(ISNUMBER(K36)),K36=0),"",ROUND(K36*(1+Settings!$C$7),0))</f>
        <v/>
      </c>
      <c r="P36" s="40" t="s">
        <v>9</v>
      </c>
    </row>
    <row r="37" ht="36.0" customHeight="1">
      <c r="A37" s="33" t="s">
        <v>426</v>
      </c>
      <c r="B37" s="34" t="s">
        <v>102</v>
      </c>
      <c r="C37" s="34" t="s">
        <v>52</v>
      </c>
      <c r="D37" s="35" t="s">
        <v>163</v>
      </c>
      <c r="E37" s="36"/>
      <c r="F37" s="37"/>
      <c r="G37" s="36"/>
      <c r="H37" s="37"/>
      <c r="I37" s="36"/>
      <c r="J37" s="37"/>
      <c r="K37" s="36"/>
      <c r="L37" s="37"/>
      <c r="M37" s="38" t="s">
        <v>427</v>
      </c>
      <c r="N37" s="34" t="s">
        <v>118</v>
      </c>
      <c r="O37" s="34" t="s">
        <v>118</v>
      </c>
      <c r="P37" s="40" t="s">
        <v>17</v>
      </c>
    </row>
    <row r="38" ht="15.75" customHeight="1"/>
    <row r="39" ht="15.75" customHeight="1"/>
    <row r="40" ht="21.75" customHeight="1">
      <c r="A40" s="15" t="s">
        <v>123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</row>
    <row r="41" ht="18.0" customHeight="1">
      <c r="A41" s="19" t="s">
        <v>39</v>
      </c>
      <c r="B41" s="20"/>
      <c r="C41" s="20"/>
      <c r="D41" s="20"/>
      <c r="E41" s="20"/>
      <c r="F41" s="20"/>
      <c r="G41" s="21"/>
      <c r="H41" s="19" t="s">
        <v>40</v>
      </c>
      <c r="I41" s="20"/>
      <c r="J41" s="21"/>
      <c r="K41" s="19" t="s">
        <v>124</v>
      </c>
      <c r="L41" s="20"/>
      <c r="M41" s="20"/>
      <c r="N41" s="20"/>
      <c r="O41" s="20"/>
      <c r="P41" s="21"/>
    </row>
    <row r="42" ht="21.75" customHeight="1">
      <c r="A42" s="22" t="s">
        <v>125</v>
      </c>
      <c r="B42" s="20"/>
      <c r="C42" s="20"/>
      <c r="D42" s="20"/>
      <c r="E42" s="20"/>
      <c r="F42" s="20"/>
      <c r="G42" s="21"/>
      <c r="H42" s="22" t="s">
        <v>126</v>
      </c>
      <c r="I42" s="20"/>
      <c r="J42" s="21"/>
      <c r="K42" s="23" t="s">
        <v>428</v>
      </c>
      <c r="L42" s="20"/>
      <c r="M42" s="20"/>
      <c r="N42" s="20"/>
      <c r="O42" s="20"/>
      <c r="P42" s="21"/>
    </row>
    <row r="43" ht="21.75" customHeight="1">
      <c r="A43" s="24" t="s">
        <v>204</v>
      </c>
      <c r="B43" s="20"/>
      <c r="C43" s="20"/>
      <c r="D43" s="20"/>
      <c r="E43" s="20"/>
      <c r="F43" s="20"/>
      <c r="G43" s="21"/>
      <c r="H43" s="24" t="s">
        <v>205</v>
      </c>
      <c r="I43" s="20"/>
      <c r="J43" s="21"/>
      <c r="K43" s="25" t="s">
        <v>291</v>
      </c>
      <c r="L43" s="20"/>
      <c r="M43" s="20"/>
      <c r="N43" s="20"/>
      <c r="O43" s="20"/>
      <c r="P43" s="21"/>
    </row>
    <row r="44" ht="21.75" customHeight="1">
      <c r="A44" s="22" t="s">
        <v>207</v>
      </c>
      <c r="B44" s="20"/>
      <c r="C44" s="20"/>
      <c r="D44" s="20"/>
      <c r="E44" s="20"/>
      <c r="F44" s="20"/>
      <c r="G44" s="21"/>
      <c r="H44" s="22" t="s">
        <v>169</v>
      </c>
      <c r="I44" s="20"/>
      <c r="J44" s="21"/>
      <c r="K44" s="23" t="s">
        <v>208</v>
      </c>
      <c r="L44" s="20"/>
      <c r="M44" s="20"/>
      <c r="N44" s="20"/>
      <c r="O44" s="20"/>
      <c r="P44" s="21"/>
    </row>
    <row r="45" ht="15.75" customHeight="1"/>
    <row r="46" ht="15.75" customHeight="1">
      <c r="A46" s="8" t="s">
        <v>429</v>
      </c>
    </row>
    <row r="47" ht="15.75" customHeight="1">
      <c r="A47" s="3" t="s">
        <v>371</v>
      </c>
      <c r="B47" s="3" t="s">
        <v>430</v>
      </c>
      <c r="C47" s="3" t="s">
        <v>373</v>
      </c>
      <c r="D47" s="3" t="s">
        <v>374</v>
      </c>
      <c r="E47" s="3" t="s">
        <v>375</v>
      </c>
    </row>
    <row r="48" ht="27.75" customHeight="1">
      <c r="A48" s="33" t="s">
        <v>408</v>
      </c>
      <c r="B48" s="13" t="s">
        <v>185</v>
      </c>
      <c r="C48" s="43" t="str">
        <f>IF(ISNUMBER(M1D3!K31),M1D3!K31,"")</f>
        <v/>
      </c>
      <c r="D48" s="39" t="str">
        <f>IF(OR(NOT(ISNUMBER(M1D3!K31)),M1D3!K31=0),"",ROUND(M1D3!K31*(1+Settings!$B$9),0))</f>
        <v/>
      </c>
      <c r="E48" s="39" t="str">
        <f>IF(OR(NOT(ISNUMBER(M1D3!K31)),M1D3!K31=0),"",ROUND(M1D3!K31*(1+Settings!$C$9),0))</f>
        <v/>
      </c>
    </row>
    <row r="49" ht="27.75" customHeight="1">
      <c r="A49" s="33" t="s">
        <v>411</v>
      </c>
      <c r="B49" s="44" t="s">
        <v>398</v>
      </c>
      <c r="C49" s="34" t="s">
        <v>118</v>
      </c>
      <c r="D49" s="34" t="s">
        <v>118</v>
      </c>
      <c r="E49" s="34" t="s">
        <v>118</v>
      </c>
    </row>
    <row r="50" ht="27.75" customHeight="1">
      <c r="A50" s="33" t="s">
        <v>413</v>
      </c>
      <c r="B50" s="13" t="s">
        <v>187</v>
      </c>
      <c r="C50" s="43" t="str">
        <f>IF(ISNUMBER(M1D3!K32),M1D3!K32,"")</f>
        <v/>
      </c>
      <c r="D50" s="39" t="str">
        <f>IF(OR(NOT(ISNUMBER(M1D3!K32)),M1D3!K32=0),"",ROUND(M1D3!K32*(1+Settings!$B$7),0))</f>
        <v/>
      </c>
      <c r="E50" s="39" t="str">
        <f>IF(OR(NOT(ISNUMBER(M1D3!K32)),M1D3!K32=0),"",ROUND(M1D3!K32*(1+Settings!$C$7),0))</f>
        <v/>
      </c>
    </row>
    <row r="51" ht="27.75" customHeight="1">
      <c r="A51" s="33" t="s">
        <v>415</v>
      </c>
      <c r="B51" s="13" t="s">
        <v>190</v>
      </c>
      <c r="C51" s="43" t="str">
        <f>IF(ISNUMBER(M1D3!K33),M1D3!K33,"")</f>
        <v/>
      </c>
      <c r="D51" s="39" t="str">
        <f>IF(OR(NOT(ISNUMBER(M1D3!K33)),M1D3!K33=0),"",ROUND(M1D3!K33*(1+Settings!$B$7),0))</f>
        <v/>
      </c>
      <c r="E51" s="39" t="str">
        <f>IF(OR(NOT(ISNUMBER(M1D3!K33)),M1D3!K33=0),"",ROUND(M1D3!K33*(1+Settings!$C$7),0))</f>
        <v/>
      </c>
    </row>
    <row r="52" ht="27.75" customHeight="1">
      <c r="A52" s="33" t="s">
        <v>418</v>
      </c>
      <c r="B52" s="13" t="s">
        <v>195</v>
      </c>
      <c r="C52" s="43" t="str">
        <f>IF(ISNUMBER(M1D3!K35),M1D3!K35,"")</f>
        <v/>
      </c>
      <c r="D52" s="34" t="s">
        <v>118</v>
      </c>
      <c r="E52" s="34" t="s">
        <v>118</v>
      </c>
    </row>
    <row r="53" ht="27.75" customHeight="1">
      <c r="A53" s="33" t="s">
        <v>422</v>
      </c>
      <c r="B53" s="13" t="s">
        <v>200</v>
      </c>
      <c r="C53" s="43" t="str">
        <f>IF(ISNUMBER(M1D3!K36),M1D3!K36,"")</f>
        <v/>
      </c>
      <c r="D53" s="39" t="str">
        <f>IF(OR(NOT(ISNUMBER(M1D3!K36)),M1D3!K36=0),"",ROUND(M1D3!K36*(1+Settings!$B$7),0))</f>
        <v/>
      </c>
      <c r="E53" s="39" t="str">
        <f>IF(OR(NOT(ISNUMBER(M1D3!K36)),M1D3!K36=0),"",ROUND(M1D3!K36*(1+Settings!$C$7),0))</f>
        <v/>
      </c>
    </row>
    <row r="54" ht="27.75" customHeight="1">
      <c r="A54" s="33" t="s">
        <v>426</v>
      </c>
      <c r="B54" s="44" t="s">
        <v>398</v>
      </c>
      <c r="C54" s="34" t="s">
        <v>118</v>
      </c>
      <c r="D54" s="34" t="s">
        <v>118</v>
      </c>
      <c r="E54" s="34" t="s">
        <v>118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A18:G18"/>
    <mergeCell ref="H18:J18"/>
    <mergeCell ref="K18:P18"/>
    <mergeCell ref="A19:G19"/>
    <mergeCell ref="H19:J19"/>
    <mergeCell ref="K19:P19"/>
    <mergeCell ref="A21:P21"/>
    <mergeCell ref="A22:P22"/>
    <mergeCell ref="A23:G23"/>
    <mergeCell ref="H23:J23"/>
    <mergeCell ref="K23:P23"/>
    <mergeCell ref="A24:G24"/>
    <mergeCell ref="H24:J24"/>
    <mergeCell ref="K24:P24"/>
    <mergeCell ref="D29:D30"/>
    <mergeCell ref="E29:F29"/>
    <mergeCell ref="K29:L29"/>
    <mergeCell ref="M29:M30"/>
    <mergeCell ref="N29:O29"/>
    <mergeCell ref="P29:P30"/>
    <mergeCell ref="A25:G25"/>
    <mergeCell ref="H25:J25"/>
    <mergeCell ref="K25:P25"/>
    <mergeCell ref="A28:P28"/>
    <mergeCell ref="A29:A30"/>
    <mergeCell ref="B29:B30"/>
    <mergeCell ref="C29:C30"/>
    <mergeCell ref="A43:G43"/>
    <mergeCell ref="H43:J43"/>
    <mergeCell ref="K43:P43"/>
    <mergeCell ref="A44:G44"/>
    <mergeCell ref="H44:J44"/>
    <mergeCell ref="K44:P44"/>
    <mergeCell ref="A46:P46"/>
    <mergeCell ref="A40:P40"/>
    <mergeCell ref="A41:G41"/>
    <mergeCell ref="H41:J41"/>
    <mergeCell ref="K41:P41"/>
    <mergeCell ref="A42:G42"/>
    <mergeCell ref="H42:J42"/>
    <mergeCell ref="K42:P42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G29:H29"/>
    <mergeCell ref="I29:J29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431</v>
      </c>
    </row>
    <row r="2" ht="31.5" customHeight="1">
      <c r="A2" s="14" t="s">
        <v>432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48</v>
      </c>
      <c r="B7" s="20"/>
      <c r="C7" s="20"/>
      <c r="D7" s="20"/>
      <c r="E7" s="20"/>
      <c r="F7" s="20"/>
      <c r="G7" s="21"/>
      <c r="H7" s="24" t="s">
        <v>49</v>
      </c>
      <c r="I7" s="20"/>
      <c r="J7" s="21"/>
      <c r="K7" s="25" t="s">
        <v>50</v>
      </c>
      <c r="L7" s="20"/>
      <c r="M7" s="20"/>
      <c r="N7" s="20"/>
      <c r="O7" s="20"/>
      <c r="P7" s="21"/>
    </row>
    <row r="8" ht="18.0" customHeight="1">
      <c r="A8" s="22" t="s">
        <v>211</v>
      </c>
      <c r="B8" s="20"/>
      <c r="C8" s="20"/>
      <c r="D8" s="20"/>
      <c r="E8" s="20"/>
      <c r="F8" s="20"/>
      <c r="G8" s="21"/>
      <c r="H8" s="22" t="s">
        <v>120</v>
      </c>
      <c r="I8" s="20"/>
      <c r="J8" s="21"/>
      <c r="K8" s="23" t="s">
        <v>212</v>
      </c>
      <c r="L8" s="20"/>
      <c r="M8" s="20"/>
      <c r="N8" s="20"/>
      <c r="O8" s="20"/>
      <c r="P8" s="21"/>
    </row>
    <row r="9" ht="18.0" customHeight="1">
      <c r="A9" s="24" t="s">
        <v>433</v>
      </c>
      <c r="B9" s="20"/>
      <c r="C9" s="20"/>
      <c r="D9" s="20"/>
      <c r="E9" s="20"/>
      <c r="F9" s="20"/>
      <c r="G9" s="21"/>
      <c r="H9" s="24" t="s">
        <v>434</v>
      </c>
      <c r="I9" s="20"/>
      <c r="J9" s="21"/>
      <c r="K9" s="25" t="s">
        <v>435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346</v>
      </c>
      <c r="F29" s="21"/>
      <c r="G29" s="31" t="s">
        <v>347</v>
      </c>
      <c r="H29" s="21"/>
      <c r="I29" s="31" t="s">
        <v>348</v>
      </c>
      <c r="J29" s="21"/>
      <c r="K29" s="31" t="s">
        <v>349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436</v>
      </c>
      <c r="B31" s="34" t="s">
        <v>142</v>
      </c>
      <c r="C31" s="34" t="s">
        <v>143</v>
      </c>
      <c r="D31" s="35" t="s">
        <v>437</v>
      </c>
      <c r="E31" s="36"/>
      <c r="F31" s="37"/>
      <c r="G31" s="36"/>
      <c r="H31" s="37"/>
      <c r="I31" s="36"/>
      <c r="J31" s="37"/>
      <c r="K31" s="36"/>
      <c r="L31" s="37"/>
      <c r="M31" s="38" t="s">
        <v>438</v>
      </c>
      <c r="N31" s="39" t="str">
        <f>IF(OR(NOT(ISNUMBER(K31)),K31=0),"",ROUND(K31*(1+Settings!$B$6),0))</f>
        <v/>
      </c>
      <c r="O31" s="39" t="str">
        <f>IF(OR(NOT(ISNUMBER(K31)),K31=0),"",ROUND(K31*(1+Settings!$C$6),0))</f>
        <v/>
      </c>
      <c r="P31" s="40" t="s">
        <v>7</v>
      </c>
    </row>
    <row r="32" ht="36.0" customHeight="1">
      <c r="A32" s="33" t="s">
        <v>439</v>
      </c>
      <c r="B32" s="34" t="s">
        <v>142</v>
      </c>
      <c r="C32" s="34" t="s">
        <v>106</v>
      </c>
      <c r="D32" s="35" t="s">
        <v>440</v>
      </c>
      <c r="E32" s="36"/>
      <c r="F32" s="37"/>
      <c r="G32" s="36"/>
      <c r="H32" s="37"/>
      <c r="I32" s="36"/>
      <c r="J32" s="37"/>
      <c r="K32" s="36"/>
      <c r="L32" s="37"/>
      <c r="M32" s="38" t="s">
        <v>441</v>
      </c>
      <c r="N32" s="39" t="str">
        <f>IF(OR(NOT(ISNUMBER(K32)),K32=0),"",ROUND(K32*(1+Settings!$B$7),0))</f>
        <v/>
      </c>
      <c r="O32" s="39" t="str">
        <f>IF(OR(NOT(ISNUMBER(K32)),K32=0),"",ROUND(K32*(1+Settings!$C$7),0))</f>
        <v/>
      </c>
      <c r="P32" s="40" t="s">
        <v>9</v>
      </c>
    </row>
    <row r="33" ht="36.0" customHeight="1">
      <c r="A33" s="33" t="s">
        <v>442</v>
      </c>
      <c r="B33" s="34" t="s">
        <v>142</v>
      </c>
      <c r="C33" s="34" t="s">
        <v>106</v>
      </c>
      <c r="D33" s="35" t="s">
        <v>437</v>
      </c>
      <c r="E33" s="36"/>
      <c r="F33" s="37"/>
      <c r="G33" s="36"/>
      <c r="H33" s="37"/>
      <c r="I33" s="36"/>
      <c r="J33" s="37"/>
      <c r="K33" s="36"/>
      <c r="L33" s="37"/>
      <c r="M33" s="38" t="s">
        <v>443</v>
      </c>
      <c r="N33" s="39" t="str">
        <f>IF(OR(NOT(ISNUMBER(K33)),K33=0),"",ROUND(K33*(1+Settings!$B$7),0))</f>
        <v/>
      </c>
      <c r="O33" s="39" t="str">
        <f>IF(OR(NOT(ISNUMBER(K33)),K33=0),"",ROUND(K33*(1+Settings!$C$7),0))</f>
        <v/>
      </c>
      <c r="P33" s="40" t="s">
        <v>9</v>
      </c>
    </row>
    <row r="34" ht="36.0" customHeight="1">
      <c r="A34" s="33" t="s">
        <v>444</v>
      </c>
      <c r="B34" s="34" t="s">
        <v>102</v>
      </c>
      <c r="C34" s="34" t="s">
        <v>49</v>
      </c>
      <c r="D34" s="35" t="s">
        <v>148</v>
      </c>
      <c r="E34" s="36"/>
      <c r="F34" s="37"/>
      <c r="G34" s="36"/>
      <c r="H34" s="37"/>
      <c r="I34" s="36"/>
      <c r="J34" s="37"/>
      <c r="K34" s="36"/>
      <c r="L34" s="37"/>
      <c r="M34" s="38" t="s">
        <v>445</v>
      </c>
      <c r="N34" s="39" t="str">
        <f>IF(OR(NOT(ISNUMBER(K34)),K34=0),"",ROUND(K34*(1+Settings!$B$8),0))</f>
        <v/>
      </c>
      <c r="O34" s="39" t="str">
        <f>IF(OR(NOT(ISNUMBER(K34)),K34=0),"",ROUND(K34*(1+Settings!$C$8),0))</f>
        <v/>
      </c>
      <c r="P34" s="40" t="s">
        <v>11</v>
      </c>
    </row>
    <row r="35" ht="36.0" customHeight="1">
      <c r="A35" s="33" t="s">
        <v>446</v>
      </c>
      <c r="B35" s="34" t="s">
        <v>102</v>
      </c>
      <c r="C35" s="34" t="s">
        <v>447</v>
      </c>
      <c r="D35" s="35" t="s">
        <v>448</v>
      </c>
      <c r="E35" s="36"/>
      <c r="F35" s="37"/>
      <c r="G35" s="36"/>
      <c r="H35" s="37"/>
      <c r="I35" s="36"/>
      <c r="J35" s="37"/>
      <c r="K35" s="36"/>
      <c r="L35" s="37"/>
      <c r="M35" s="38" t="s">
        <v>449</v>
      </c>
      <c r="N35" s="39" t="str">
        <f>IF(OR(NOT(ISNUMBER(K35)),K35=0),"",ROUND(K35*(1+Settings!$B$8),0))</f>
        <v/>
      </c>
      <c r="O35" s="39" t="str">
        <f>IF(OR(NOT(ISNUMBER(K35)),K35=0),"",ROUND(K35*(1+Settings!$C$8),0))</f>
        <v/>
      </c>
      <c r="P35" s="40" t="s">
        <v>11</v>
      </c>
    </row>
    <row r="36" ht="36.0" customHeight="1">
      <c r="A36" s="33" t="s">
        <v>450</v>
      </c>
      <c r="B36" s="34" t="s">
        <v>102</v>
      </c>
      <c r="C36" s="34" t="s">
        <v>451</v>
      </c>
      <c r="D36" s="35" t="s">
        <v>191</v>
      </c>
      <c r="E36" s="36"/>
      <c r="F36" s="37"/>
      <c r="G36" s="36"/>
      <c r="H36" s="37"/>
      <c r="I36" s="36"/>
      <c r="J36" s="37"/>
      <c r="K36" s="36"/>
      <c r="L36" s="37"/>
      <c r="M36" s="38" t="s">
        <v>452</v>
      </c>
      <c r="N36" s="39" t="str">
        <f>IF(OR(NOT(ISNUMBER(K36)),K36=0),"",ROUND(K36*(1+Settings!$B$11),0))</f>
        <v/>
      </c>
      <c r="O36" s="39" t="str">
        <f>IF(OR(NOT(ISNUMBER(K36)),K36=0),"",ROUND(K36*(1+Settings!$C$11),0))</f>
        <v/>
      </c>
      <c r="P36" s="40" t="s">
        <v>17</v>
      </c>
    </row>
    <row r="37" ht="15.75" customHeight="1"/>
    <row r="38" ht="15.75" customHeight="1"/>
    <row r="39" ht="21.75" customHeight="1">
      <c r="A39" s="15" t="s">
        <v>123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ht="18.0" customHeight="1">
      <c r="A40" s="19" t="s">
        <v>39</v>
      </c>
      <c r="B40" s="20"/>
      <c r="C40" s="20"/>
      <c r="D40" s="20"/>
      <c r="E40" s="20"/>
      <c r="F40" s="20"/>
      <c r="G40" s="21"/>
      <c r="H40" s="19" t="s">
        <v>40</v>
      </c>
      <c r="I40" s="20"/>
      <c r="J40" s="21"/>
      <c r="K40" s="19" t="s">
        <v>124</v>
      </c>
      <c r="L40" s="20"/>
      <c r="M40" s="20"/>
      <c r="N40" s="20"/>
      <c r="O40" s="20"/>
      <c r="P40" s="21"/>
    </row>
    <row r="41" ht="21.75" customHeight="1">
      <c r="A41" s="22" t="s">
        <v>165</v>
      </c>
      <c r="B41" s="20"/>
      <c r="C41" s="20"/>
      <c r="D41" s="20"/>
      <c r="E41" s="20"/>
      <c r="F41" s="20"/>
      <c r="G41" s="21"/>
      <c r="H41" s="22" t="s">
        <v>166</v>
      </c>
      <c r="I41" s="20"/>
      <c r="J41" s="21"/>
      <c r="K41" s="23" t="s">
        <v>231</v>
      </c>
      <c r="L41" s="20"/>
      <c r="M41" s="20"/>
      <c r="N41" s="20"/>
      <c r="O41" s="20"/>
      <c r="P41" s="21"/>
    </row>
    <row r="42" ht="21.75" customHeight="1">
      <c r="A42" s="24" t="s">
        <v>367</v>
      </c>
      <c r="B42" s="20"/>
      <c r="C42" s="20"/>
      <c r="D42" s="20"/>
      <c r="E42" s="20"/>
      <c r="F42" s="20"/>
      <c r="G42" s="21"/>
      <c r="H42" s="24" t="s">
        <v>368</v>
      </c>
      <c r="I42" s="20"/>
      <c r="J42" s="21"/>
      <c r="K42" s="25" t="s">
        <v>453</v>
      </c>
      <c r="L42" s="20"/>
      <c r="M42" s="20"/>
      <c r="N42" s="20"/>
      <c r="O42" s="20"/>
      <c r="P42" s="21"/>
    </row>
    <row r="43" ht="21.75" customHeight="1">
      <c r="A43" s="22" t="s">
        <v>454</v>
      </c>
      <c r="B43" s="20"/>
      <c r="C43" s="20"/>
      <c r="D43" s="20"/>
      <c r="E43" s="20"/>
      <c r="F43" s="20"/>
      <c r="G43" s="21"/>
      <c r="H43" s="22" t="s">
        <v>205</v>
      </c>
      <c r="I43" s="20"/>
      <c r="J43" s="21"/>
      <c r="K43" s="23" t="s">
        <v>291</v>
      </c>
      <c r="L43" s="20"/>
      <c r="M43" s="20"/>
      <c r="N43" s="20"/>
      <c r="O43" s="20"/>
      <c r="P43" s="21"/>
    </row>
    <row r="44" ht="15.75" customHeight="1"/>
    <row r="45" ht="15.75" customHeight="1">
      <c r="A45" s="8" t="s">
        <v>455</v>
      </c>
    </row>
    <row r="46" ht="15.75" customHeight="1">
      <c r="A46" s="3" t="s">
        <v>371</v>
      </c>
      <c r="B46" s="3" t="s">
        <v>456</v>
      </c>
      <c r="C46" s="3" t="s">
        <v>373</v>
      </c>
      <c r="D46" s="3" t="s">
        <v>374</v>
      </c>
      <c r="E46" s="3" t="s">
        <v>375</v>
      </c>
    </row>
    <row r="47" ht="27.75" customHeight="1">
      <c r="A47" s="33" t="s">
        <v>436</v>
      </c>
      <c r="B47" s="13" t="s">
        <v>213</v>
      </c>
      <c r="C47" s="43" t="str">
        <f>IF(ISNUMBER(M1D4!K31),M1D4!K31,"")</f>
        <v/>
      </c>
      <c r="D47" s="39" t="str">
        <f>IF(OR(NOT(ISNUMBER(M1D4!K31)),M1D4!K31=0),"",ROUND(M1D4!K31*(1+Settings!$B$6),0))</f>
        <v/>
      </c>
      <c r="E47" s="39" t="str">
        <f>IF(OR(NOT(ISNUMBER(M1D4!K31)),M1D4!K31=0),"",ROUND(M1D4!K31*(1+Settings!$C$6),0))</f>
        <v/>
      </c>
    </row>
    <row r="48" ht="27.75" customHeight="1">
      <c r="A48" s="33" t="s">
        <v>439</v>
      </c>
      <c r="B48" s="13" t="s">
        <v>217</v>
      </c>
      <c r="C48" s="43" t="str">
        <f>IF(ISNUMBER(M1D4!K32),M1D4!K32,"")</f>
        <v/>
      </c>
      <c r="D48" s="39" t="str">
        <f>IF(OR(NOT(ISNUMBER(M1D4!K32)),M1D4!K32=0),"",ROUND(M1D4!K32*(1+Settings!$B$7),0))</f>
        <v/>
      </c>
      <c r="E48" s="39" t="str">
        <f>IF(OR(NOT(ISNUMBER(M1D4!K32)),M1D4!K32=0),"",ROUND(M1D4!K32*(1+Settings!$C$7),0))</f>
        <v/>
      </c>
    </row>
    <row r="49" ht="27.75" customHeight="1">
      <c r="A49" s="33" t="s">
        <v>442</v>
      </c>
      <c r="B49" s="13" t="s">
        <v>221</v>
      </c>
      <c r="C49" s="43" t="str">
        <f>IF(ISNUMBER(M1D4!K33),M1D4!K33,"")</f>
        <v/>
      </c>
      <c r="D49" s="39" t="str">
        <f>IF(OR(NOT(ISNUMBER(M1D4!K33)),M1D4!K33=0),"",ROUND(M1D4!K33*(1+Settings!$B$7),0))</f>
        <v/>
      </c>
      <c r="E49" s="39" t="str">
        <f>IF(OR(NOT(ISNUMBER(M1D4!K33)),M1D4!K33=0),"",ROUND(M1D4!K33*(1+Settings!$C$7),0))</f>
        <v/>
      </c>
    </row>
    <row r="50" ht="27.75" customHeight="1">
      <c r="A50" s="33" t="s">
        <v>444</v>
      </c>
      <c r="B50" s="13" t="s">
        <v>223</v>
      </c>
      <c r="C50" s="43" t="str">
        <f>IF(ISNUMBER(M1D4!K34),M1D4!K34,"")</f>
        <v/>
      </c>
      <c r="D50" s="39" t="str">
        <f>IF(OR(NOT(ISNUMBER(M1D4!K34)),M1D4!K34=0),"",ROUND(M1D4!K34*(1+Settings!$B$8),0))</f>
        <v/>
      </c>
      <c r="E50" s="39" t="str">
        <f>IF(OR(NOT(ISNUMBER(M1D4!K34)),M1D4!K34=0),"",ROUND(M1D4!K34*(1+Settings!$C$8),0))</f>
        <v/>
      </c>
    </row>
    <row r="51" ht="27.75" customHeight="1">
      <c r="A51" s="33" t="s">
        <v>446</v>
      </c>
      <c r="B51" s="44" t="s">
        <v>398</v>
      </c>
      <c r="C51" s="34" t="s">
        <v>118</v>
      </c>
      <c r="D51" s="34" t="s">
        <v>118</v>
      </c>
      <c r="E51" s="34" t="s">
        <v>118</v>
      </c>
    </row>
    <row r="52" ht="27.75" customHeight="1">
      <c r="A52" s="33" t="s">
        <v>450</v>
      </c>
      <c r="B52" s="13" t="s">
        <v>226</v>
      </c>
      <c r="C52" s="43" t="str">
        <f>IF(ISNUMBER(M1D4!K35),M1D4!K35,"")</f>
        <v/>
      </c>
      <c r="D52" s="39" t="str">
        <f>IF(OR(NOT(ISNUMBER(M1D4!K35)),M1D4!K35=0),"",ROUND(M1D4!K35*(1+Settings!$B$11),0))</f>
        <v/>
      </c>
      <c r="E52" s="39" t="str">
        <f>IF(OR(NOT(ISNUMBER(M1D4!K35)),M1D4!K35=0),"",ROUND(M1D4!K35*(1+Settings!$C$11),0))</f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G29:H29"/>
    <mergeCell ref="I29:J29"/>
    <mergeCell ref="K29:L29"/>
    <mergeCell ref="M29:M30"/>
    <mergeCell ref="N29:O29"/>
    <mergeCell ref="P29:P30"/>
    <mergeCell ref="A22:P22"/>
    <mergeCell ref="A28:P28"/>
    <mergeCell ref="A29:A30"/>
    <mergeCell ref="B29:B30"/>
    <mergeCell ref="C29:C30"/>
    <mergeCell ref="D29:D30"/>
    <mergeCell ref="E29:F29"/>
    <mergeCell ref="A42:G42"/>
    <mergeCell ref="H42:J42"/>
    <mergeCell ref="K42:P42"/>
    <mergeCell ref="A43:G43"/>
    <mergeCell ref="H43:J43"/>
    <mergeCell ref="K43:P43"/>
    <mergeCell ref="A45:P45"/>
    <mergeCell ref="A39:P39"/>
    <mergeCell ref="A40:G40"/>
    <mergeCell ref="H40:J40"/>
    <mergeCell ref="K40:P40"/>
    <mergeCell ref="A41:G41"/>
    <mergeCell ref="H41:J41"/>
    <mergeCell ref="K41:P41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A18:G18"/>
    <mergeCell ref="H18:J18"/>
    <mergeCell ref="K18:P18"/>
    <mergeCell ref="A19:G19"/>
    <mergeCell ref="H19:J19"/>
    <mergeCell ref="K19:P19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457</v>
      </c>
    </row>
    <row r="2" ht="31.5" customHeight="1">
      <c r="A2" s="14" t="s">
        <v>458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211</v>
      </c>
      <c r="B7" s="20"/>
      <c r="C7" s="20"/>
      <c r="D7" s="20"/>
      <c r="E7" s="20"/>
      <c r="F7" s="20"/>
      <c r="G7" s="21"/>
      <c r="H7" s="24" t="s">
        <v>120</v>
      </c>
      <c r="I7" s="20"/>
      <c r="J7" s="21"/>
      <c r="K7" s="25" t="s">
        <v>212</v>
      </c>
      <c r="L7" s="20"/>
      <c r="M7" s="20"/>
      <c r="N7" s="20"/>
      <c r="O7" s="20"/>
      <c r="P7" s="21"/>
    </row>
    <row r="8" ht="18.0" customHeight="1">
      <c r="A8" s="22" t="s">
        <v>176</v>
      </c>
      <c r="B8" s="20"/>
      <c r="C8" s="20"/>
      <c r="D8" s="20"/>
      <c r="E8" s="20"/>
      <c r="F8" s="20"/>
      <c r="G8" s="21"/>
      <c r="H8" s="22" t="s">
        <v>65</v>
      </c>
      <c r="I8" s="20"/>
      <c r="J8" s="21"/>
      <c r="K8" s="23" t="s">
        <v>177</v>
      </c>
      <c r="L8" s="20"/>
      <c r="M8" s="20"/>
      <c r="N8" s="20"/>
      <c r="O8" s="20"/>
      <c r="P8" s="21"/>
    </row>
    <row r="9" ht="18.0" customHeight="1">
      <c r="A9" s="24" t="s">
        <v>294</v>
      </c>
      <c r="B9" s="20"/>
      <c r="C9" s="20"/>
      <c r="D9" s="20"/>
      <c r="E9" s="20"/>
      <c r="F9" s="20"/>
      <c r="G9" s="21"/>
      <c r="H9" s="24" t="s">
        <v>65</v>
      </c>
      <c r="I9" s="20"/>
      <c r="J9" s="21"/>
      <c r="K9" s="25" t="s">
        <v>295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459</v>
      </c>
      <c r="F29" s="21"/>
      <c r="G29" s="31" t="s">
        <v>460</v>
      </c>
      <c r="H29" s="21"/>
      <c r="I29" s="31" t="s">
        <v>461</v>
      </c>
      <c r="J29" s="21"/>
      <c r="K29" s="31" t="s">
        <v>462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463</v>
      </c>
      <c r="B31" s="34" t="s">
        <v>143</v>
      </c>
      <c r="C31" s="34" t="s">
        <v>272</v>
      </c>
      <c r="D31" s="35" t="s">
        <v>464</v>
      </c>
      <c r="E31" s="36"/>
      <c r="F31" s="37"/>
      <c r="G31" s="36"/>
      <c r="H31" s="37"/>
      <c r="I31" s="36"/>
      <c r="J31" s="37"/>
      <c r="K31" s="36"/>
      <c r="L31" s="37"/>
      <c r="M31" s="38" t="s">
        <v>465</v>
      </c>
      <c r="N31" s="39" t="str">
        <f>IF(OR(NOT(ISNUMBER(K31)),K31=0),"",ROUND(K31*(1+Settings!$B$6),0))</f>
        <v/>
      </c>
      <c r="O31" s="39" t="str">
        <f>IF(OR(NOT(ISNUMBER(K31)),K31=0),"",ROUND(K31*(1+Settings!$C$6),0))</f>
        <v/>
      </c>
      <c r="P31" s="40" t="s">
        <v>7</v>
      </c>
    </row>
    <row r="32" ht="36.0" customHeight="1">
      <c r="A32" s="33" t="s">
        <v>466</v>
      </c>
      <c r="B32" s="34" t="s">
        <v>142</v>
      </c>
      <c r="C32" s="34" t="s">
        <v>52</v>
      </c>
      <c r="D32" s="35" t="s">
        <v>464</v>
      </c>
      <c r="E32" s="36"/>
      <c r="F32" s="37"/>
      <c r="G32" s="36"/>
      <c r="H32" s="37"/>
      <c r="I32" s="36"/>
      <c r="J32" s="37"/>
      <c r="K32" s="36"/>
      <c r="L32" s="37"/>
      <c r="M32" s="38" t="s">
        <v>467</v>
      </c>
      <c r="N32" s="39" t="str">
        <f>IF(OR(NOT(ISNUMBER(K32)),K32=0),"",ROUND(K32*(1+Settings!$B$7),0))</f>
        <v/>
      </c>
      <c r="O32" s="39" t="str">
        <f>IF(OR(NOT(ISNUMBER(K32)),K32=0),"",ROUND(K32*(1+Settings!$C$7),0))</f>
        <v/>
      </c>
      <c r="P32" s="40" t="s">
        <v>9</v>
      </c>
    </row>
    <row r="33" ht="36.0" customHeight="1">
      <c r="A33" s="33" t="s">
        <v>468</v>
      </c>
      <c r="B33" s="34" t="s">
        <v>102</v>
      </c>
      <c r="C33" s="34" t="s">
        <v>151</v>
      </c>
      <c r="D33" s="35" t="s">
        <v>440</v>
      </c>
      <c r="E33" s="36"/>
      <c r="F33" s="37"/>
      <c r="G33" s="36"/>
      <c r="H33" s="37"/>
      <c r="I33" s="36"/>
      <c r="J33" s="37"/>
      <c r="K33" s="36"/>
      <c r="L33" s="37"/>
      <c r="M33" s="38" t="s">
        <v>469</v>
      </c>
      <c r="N33" s="39" t="str">
        <f>IF(OR(NOT(ISNUMBER(K33)),K33=0),"",ROUND(K33*(1+Settings!$B$7),0))</f>
        <v/>
      </c>
      <c r="O33" s="39" t="str">
        <f>IF(OR(NOT(ISNUMBER(K33)),K33=0),"",ROUND(K33*(1+Settings!$C$7),0))</f>
        <v/>
      </c>
      <c r="P33" s="40" t="s">
        <v>9</v>
      </c>
    </row>
    <row r="34" ht="36.0" customHeight="1">
      <c r="A34" s="33" t="s">
        <v>470</v>
      </c>
      <c r="B34" s="34" t="s">
        <v>102</v>
      </c>
      <c r="C34" s="34" t="s">
        <v>423</v>
      </c>
      <c r="D34" s="35" t="s">
        <v>471</v>
      </c>
      <c r="E34" s="36"/>
      <c r="F34" s="37"/>
      <c r="G34" s="36"/>
      <c r="H34" s="37"/>
      <c r="I34" s="36"/>
      <c r="J34" s="37"/>
      <c r="K34" s="36"/>
      <c r="L34" s="37"/>
      <c r="M34" s="38" t="s">
        <v>472</v>
      </c>
      <c r="N34" s="39" t="str">
        <f>IF(OR(NOT(ISNUMBER(K34)),K34=0),"",ROUND(K34*(1+Settings!$B$7),0))</f>
        <v/>
      </c>
      <c r="O34" s="39" t="str">
        <f>IF(OR(NOT(ISNUMBER(K34)),K34=0),"",ROUND(K34*(1+Settings!$C$7),0))</f>
        <v/>
      </c>
      <c r="P34" s="40" t="s">
        <v>9</v>
      </c>
    </row>
    <row r="35" ht="36.0" customHeight="1">
      <c r="A35" s="33" t="s">
        <v>473</v>
      </c>
      <c r="B35" s="34" t="s">
        <v>102</v>
      </c>
      <c r="C35" s="34" t="s">
        <v>258</v>
      </c>
      <c r="D35" s="35" t="s">
        <v>416</v>
      </c>
      <c r="E35" s="36"/>
      <c r="F35" s="37"/>
      <c r="G35" s="36"/>
      <c r="H35" s="37"/>
      <c r="I35" s="36"/>
      <c r="J35" s="37"/>
      <c r="K35" s="36"/>
      <c r="L35" s="37"/>
      <c r="M35" s="38"/>
      <c r="N35" s="39" t="str">
        <f>IF(OR(NOT(ISNUMBER(K35)),K35=0),"",ROUND(K35*(1+Settings!$B$7),0))</f>
        <v/>
      </c>
      <c r="O35" s="39" t="str">
        <f>IF(OR(NOT(ISNUMBER(K35)),K35=0),"",ROUND(K35*(1+Settings!$C$7),0))</f>
        <v/>
      </c>
      <c r="P35" s="40" t="s">
        <v>9</v>
      </c>
    </row>
    <row r="36" ht="36.0" customHeight="1">
      <c r="A36" s="33" t="s">
        <v>474</v>
      </c>
      <c r="B36" s="34" t="s">
        <v>102</v>
      </c>
      <c r="C36" s="34" t="s">
        <v>258</v>
      </c>
      <c r="D36" s="35" t="s">
        <v>152</v>
      </c>
      <c r="E36" s="36"/>
      <c r="F36" s="37"/>
      <c r="G36" s="36"/>
      <c r="H36" s="37"/>
      <c r="I36" s="36"/>
      <c r="J36" s="37"/>
      <c r="K36" s="36"/>
      <c r="L36" s="37"/>
      <c r="M36" s="38" t="s">
        <v>475</v>
      </c>
      <c r="N36" s="34" t="s">
        <v>118</v>
      </c>
      <c r="O36" s="34" t="s">
        <v>118</v>
      </c>
      <c r="P36" s="40" t="s">
        <v>9</v>
      </c>
    </row>
    <row r="37" ht="36.0" customHeight="1">
      <c r="A37" s="33" t="s">
        <v>476</v>
      </c>
      <c r="B37" s="34" t="s">
        <v>102</v>
      </c>
      <c r="C37" s="34" t="s">
        <v>106</v>
      </c>
      <c r="D37" s="35" t="s">
        <v>163</v>
      </c>
      <c r="E37" s="36"/>
      <c r="F37" s="37"/>
      <c r="G37" s="36"/>
      <c r="H37" s="37"/>
      <c r="I37" s="36"/>
      <c r="J37" s="37"/>
      <c r="K37" s="36"/>
      <c r="L37" s="37"/>
      <c r="M37" s="38" t="s">
        <v>477</v>
      </c>
      <c r="N37" s="34" t="s">
        <v>118</v>
      </c>
      <c r="O37" s="34" t="s">
        <v>118</v>
      </c>
      <c r="P37" s="40" t="s">
        <v>17</v>
      </c>
    </row>
    <row r="38" ht="15.75" customHeight="1"/>
    <row r="39" ht="15.75" customHeight="1"/>
    <row r="40" ht="21.75" customHeight="1">
      <c r="A40" s="15" t="s">
        <v>123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</row>
    <row r="41" ht="18.0" customHeight="1">
      <c r="A41" s="19" t="s">
        <v>39</v>
      </c>
      <c r="B41" s="20"/>
      <c r="C41" s="20"/>
      <c r="D41" s="20"/>
      <c r="E41" s="20"/>
      <c r="F41" s="20"/>
      <c r="G41" s="21"/>
      <c r="H41" s="19" t="s">
        <v>40</v>
      </c>
      <c r="I41" s="20"/>
      <c r="J41" s="21"/>
      <c r="K41" s="19" t="s">
        <v>124</v>
      </c>
      <c r="L41" s="20"/>
      <c r="M41" s="20"/>
      <c r="N41" s="20"/>
      <c r="O41" s="20"/>
      <c r="P41" s="21"/>
    </row>
    <row r="42" ht="21.75" customHeight="1">
      <c r="A42" s="22" t="s">
        <v>168</v>
      </c>
      <c r="B42" s="20"/>
      <c r="C42" s="20"/>
      <c r="D42" s="20"/>
      <c r="E42" s="20"/>
      <c r="F42" s="20"/>
      <c r="G42" s="21"/>
      <c r="H42" s="22" t="s">
        <v>169</v>
      </c>
      <c r="I42" s="20"/>
      <c r="J42" s="21"/>
      <c r="K42" s="23" t="s">
        <v>478</v>
      </c>
      <c r="L42" s="20"/>
      <c r="M42" s="20"/>
      <c r="N42" s="20"/>
      <c r="O42" s="20"/>
      <c r="P42" s="21"/>
    </row>
    <row r="43" ht="21.75" customHeight="1">
      <c r="A43" s="24" t="s">
        <v>479</v>
      </c>
      <c r="B43" s="20"/>
      <c r="C43" s="20"/>
      <c r="D43" s="20"/>
      <c r="E43" s="20"/>
      <c r="F43" s="20"/>
      <c r="G43" s="21"/>
      <c r="H43" s="24" t="s">
        <v>169</v>
      </c>
      <c r="I43" s="20"/>
      <c r="J43" s="21"/>
      <c r="K43" s="25" t="s">
        <v>268</v>
      </c>
      <c r="L43" s="20"/>
      <c r="M43" s="20"/>
      <c r="N43" s="20"/>
      <c r="O43" s="20"/>
      <c r="P43" s="21"/>
    </row>
    <row r="44" ht="21.75" customHeight="1">
      <c r="A44" s="22" t="s">
        <v>207</v>
      </c>
      <c r="B44" s="20"/>
      <c r="C44" s="20"/>
      <c r="D44" s="20"/>
      <c r="E44" s="20"/>
      <c r="F44" s="20"/>
      <c r="G44" s="21"/>
      <c r="H44" s="22" t="s">
        <v>169</v>
      </c>
      <c r="I44" s="20"/>
      <c r="J44" s="21"/>
      <c r="K44" s="23" t="s">
        <v>208</v>
      </c>
      <c r="L44" s="20"/>
      <c r="M44" s="20"/>
      <c r="N44" s="20"/>
      <c r="O44" s="20"/>
      <c r="P44" s="21"/>
    </row>
    <row r="45" ht="15.75" customHeight="1"/>
    <row r="46" ht="15.75" customHeight="1">
      <c r="A46" s="8" t="s">
        <v>480</v>
      </c>
    </row>
    <row r="47" ht="15.75" customHeight="1">
      <c r="A47" s="3" t="s">
        <v>371</v>
      </c>
      <c r="B47" s="3" t="s">
        <v>481</v>
      </c>
      <c r="C47" s="3" t="s">
        <v>373</v>
      </c>
      <c r="D47" s="3" t="s">
        <v>374</v>
      </c>
      <c r="E47" s="3" t="s">
        <v>375</v>
      </c>
    </row>
    <row r="48" ht="27.75" customHeight="1">
      <c r="A48" s="33" t="s">
        <v>463</v>
      </c>
      <c r="B48" s="13" t="s">
        <v>248</v>
      </c>
      <c r="C48" s="43" t="str">
        <f>IF(ISNUMBER(M2D1!K32),M2D1!K32,"")</f>
        <v/>
      </c>
      <c r="D48" s="39" t="str">
        <f>IF(OR(NOT(ISNUMBER(M2D1!K32)),M2D1!K32=0),"",ROUND(M2D1!K32*(1+Settings!$B$6),0))</f>
        <v/>
      </c>
      <c r="E48" s="39" t="str">
        <f>IF(OR(NOT(ISNUMBER(M2D1!K32)),M2D1!K32=0),"",ROUND(M2D1!K32*(1+Settings!$C$6),0))</f>
        <v/>
      </c>
    </row>
    <row r="49" ht="27.75" customHeight="1">
      <c r="A49" s="33" t="s">
        <v>466</v>
      </c>
      <c r="B49" s="13" t="s">
        <v>252</v>
      </c>
      <c r="C49" s="43" t="str">
        <f>IF(ISNUMBER(M2D1!K33),M2D1!K33,"")</f>
        <v/>
      </c>
      <c r="D49" s="39" t="str">
        <f>IF(OR(NOT(ISNUMBER(M2D1!K33)),M2D1!K33=0),"",ROUND(M2D1!K33*(1+Settings!$B$7),0))</f>
        <v/>
      </c>
      <c r="E49" s="39" t="str">
        <f>IF(OR(NOT(ISNUMBER(M2D1!K33)),M2D1!K33=0),"",ROUND(M2D1!K33*(1+Settings!$C$7),0))</f>
        <v/>
      </c>
    </row>
    <row r="50" ht="27.75" customHeight="1">
      <c r="A50" s="33" t="s">
        <v>468</v>
      </c>
      <c r="B50" s="13" t="s">
        <v>248</v>
      </c>
      <c r="C50" s="43" t="str">
        <f>IF(ISNUMBER(M2D1!K32),M2D1!K32,"")</f>
        <v/>
      </c>
      <c r="D50" s="39" t="str">
        <f>IF(OR(NOT(ISNUMBER(M2D1!K32)),M2D1!K32=0),"",ROUND(M2D1!K32*(1+Settings!$B$7),0))</f>
        <v/>
      </c>
      <c r="E50" s="39" t="str">
        <f>IF(OR(NOT(ISNUMBER(M2D1!K32)),M2D1!K32=0),"",ROUND(M2D1!K32*(1+Settings!$C$7),0))</f>
        <v/>
      </c>
    </row>
    <row r="51" ht="27.75" customHeight="1">
      <c r="A51" s="33" t="s">
        <v>470</v>
      </c>
      <c r="B51" s="44" t="s">
        <v>398</v>
      </c>
      <c r="C51" s="34" t="s">
        <v>118</v>
      </c>
      <c r="D51" s="34" t="s">
        <v>118</v>
      </c>
      <c r="E51" s="34" t="s">
        <v>118</v>
      </c>
    </row>
    <row r="52" ht="27.75" customHeight="1">
      <c r="A52" s="33" t="s">
        <v>473</v>
      </c>
      <c r="B52" s="13" t="s">
        <v>260</v>
      </c>
      <c r="C52" s="43" t="str">
        <f>IF(ISNUMBER(M2D1!K36),M2D1!K36,"")</f>
        <v/>
      </c>
      <c r="D52" s="39" t="str">
        <f>IF(OR(NOT(ISNUMBER(M2D1!K36)),M2D1!K36=0),"",ROUND(M2D1!K36*(1+Settings!$B$7),0))</f>
        <v/>
      </c>
      <c r="E52" s="39" t="str">
        <f>IF(OR(NOT(ISNUMBER(M2D1!K36)),M2D1!K36=0),"",ROUND(M2D1!K36*(1+Settings!$C$7),0))</f>
        <v/>
      </c>
    </row>
    <row r="53" ht="27.75" customHeight="1">
      <c r="A53" s="33" t="s">
        <v>474</v>
      </c>
      <c r="B53" s="13" t="s">
        <v>257</v>
      </c>
      <c r="C53" s="43" t="str">
        <f>IF(ISNUMBER(M2D1!K35),M2D1!K35,"")</f>
        <v/>
      </c>
      <c r="D53" s="34" t="s">
        <v>118</v>
      </c>
      <c r="E53" s="34" t="s">
        <v>118</v>
      </c>
    </row>
    <row r="54" ht="27.75" customHeight="1">
      <c r="A54" s="33" t="s">
        <v>476</v>
      </c>
      <c r="B54" s="44" t="s">
        <v>398</v>
      </c>
      <c r="C54" s="34" t="s">
        <v>118</v>
      </c>
      <c r="D54" s="34" t="s">
        <v>118</v>
      </c>
      <c r="E54" s="34" t="s">
        <v>118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G29:H29"/>
    <mergeCell ref="I29:J29"/>
    <mergeCell ref="K29:L29"/>
    <mergeCell ref="M29:M30"/>
    <mergeCell ref="N29:O29"/>
    <mergeCell ref="P29:P30"/>
    <mergeCell ref="A22:P22"/>
    <mergeCell ref="A28:P28"/>
    <mergeCell ref="A29:A30"/>
    <mergeCell ref="B29:B30"/>
    <mergeCell ref="C29:C30"/>
    <mergeCell ref="D29:D30"/>
    <mergeCell ref="E29:F29"/>
    <mergeCell ref="A43:G43"/>
    <mergeCell ref="H43:J43"/>
    <mergeCell ref="K43:P43"/>
    <mergeCell ref="A44:G44"/>
    <mergeCell ref="H44:J44"/>
    <mergeCell ref="K44:P44"/>
    <mergeCell ref="A46:P46"/>
    <mergeCell ref="A40:P40"/>
    <mergeCell ref="A41:G41"/>
    <mergeCell ref="H41:J41"/>
    <mergeCell ref="K41:P41"/>
    <mergeCell ref="A42:G42"/>
    <mergeCell ref="H42:J42"/>
    <mergeCell ref="K42:P42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A18:G18"/>
    <mergeCell ref="H18:J18"/>
    <mergeCell ref="K18:P18"/>
    <mergeCell ref="A19:G19"/>
    <mergeCell ref="H19:J19"/>
    <mergeCell ref="K19:P19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482</v>
      </c>
    </row>
    <row r="2" ht="31.5" customHeight="1">
      <c r="A2" s="14" t="s">
        <v>483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294</v>
      </c>
      <c r="B7" s="20"/>
      <c r="C7" s="20"/>
      <c r="D7" s="20"/>
      <c r="E7" s="20"/>
      <c r="F7" s="20"/>
      <c r="G7" s="21"/>
      <c r="H7" s="24" t="s">
        <v>65</v>
      </c>
      <c r="I7" s="20"/>
      <c r="J7" s="21"/>
      <c r="K7" s="25" t="s">
        <v>295</v>
      </c>
      <c r="L7" s="20"/>
      <c r="M7" s="20"/>
      <c r="N7" s="20"/>
      <c r="O7" s="20"/>
      <c r="P7" s="21"/>
    </row>
    <row r="8" ht="18.0" customHeight="1">
      <c r="A8" s="22" t="s">
        <v>48</v>
      </c>
      <c r="B8" s="20"/>
      <c r="C8" s="20"/>
      <c r="D8" s="20"/>
      <c r="E8" s="20"/>
      <c r="F8" s="20"/>
      <c r="G8" s="21"/>
      <c r="H8" s="22" t="s">
        <v>49</v>
      </c>
      <c r="I8" s="20"/>
      <c r="J8" s="21"/>
      <c r="K8" s="23" t="s">
        <v>50</v>
      </c>
      <c r="L8" s="20"/>
      <c r="M8" s="20"/>
      <c r="N8" s="20"/>
      <c r="O8" s="20"/>
      <c r="P8" s="21"/>
    </row>
    <row r="9" ht="18.0" customHeight="1">
      <c r="A9" s="24" t="s">
        <v>176</v>
      </c>
      <c r="B9" s="20"/>
      <c r="C9" s="20"/>
      <c r="D9" s="20"/>
      <c r="E9" s="20"/>
      <c r="F9" s="20"/>
      <c r="G9" s="21"/>
      <c r="H9" s="24" t="s">
        <v>65</v>
      </c>
      <c r="I9" s="20"/>
      <c r="J9" s="21"/>
      <c r="K9" s="25" t="s">
        <v>177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459</v>
      </c>
      <c r="F29" s="21"/>
      <c r="G29" s="31" t="s">
        <v>460</v>
      </c>
      <c r="H29" s="21"/>
      <c r="I29" s="31" t="s">
        <v>461</v>
      </c>
      <c r="J29" s="21"/>
      <c r="K29" s="31" t="s">
        <v>462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484</v>
      </c>
      <c r="B31" s="34" t="s">
        <v>143</v>
      </c>
      <c r="C31" s="34" t="s">
        <v>485</v>
      </c>
      <c r="D31" s="35" t="s">
        <v>486</v>
      </c>
      <c r="E31" s="36"/>
      <c r="F31" s="37"/>
      <c r="G31" s="36"/>
      <c r="H31" s="37"/>
      <c r="I31" s="36"/>
      <c r="J31" s="37"/>
      <c r="K31" s="36"/>
      <c r="L31" s="37"/>
      <c r="M31" s="38" t="s">
        <v>487</v>
      </c>
      <c r="N31" s="39" t="str">
        <f>IF(OR(NOT(ISNUMBER(K31)),K31=0),"",ROUND(K31*(1+Settings!$B$6),0))</f>
        <v/>
      </c>
      <c r="O31" s="39" t="str">
        <f>IF(OR(NOT(ISNUMBER(K31)),K31=0),"",ROUND(K31*(1+Settings!$C$6),0))</f>
        <v/>
      </c>
      <c r="P31" s="40" t="s">
        <v>7</v>
      </c>
    </row>
    <row r="32" ht="36.0" customHeight="1">
      <c r="A32" s="33" t="s">
        <v>299</v>
      </c>
      <c r="B32" s="34" t="s">
        <v>142</v>
      </c>
      <c r="C32" s="34" t="s">
        <v>52</v>
      </c>
      <c r="D32" s="35" t="s">
        <v>486</v>
      </c>
      <c r="E32" s="36"/>
      <c r="F32" s="37"/>
      <c r="G32" s="36"/>
      <c r="H32" s="37"/>
      <c r="I32" s="36"/>
      <c r="J32" s="37"/>
      <c r="K32" s="36"/>
      <c r="L32" s="37"/>
      <c r="M32" s="38" t="s">
        <v>488</v>
      </c>
      <c r="N32" s="39" t="str">
        <f>IF(OR(NOT(ISNUMBER(K32)),K32=0),"",ROUND(K32*(1+Settings!$B$7),0))</f>
        <v/>
      </c>
      <c r="O32" s="39" t="str">
        <f>IF(OR(NOT(ISNUMBER(K32)),K32=0),"",ROUND(K32*(1+Settings!$C$7),0))</f>
        <v/>
      </c>
      <c r="P32" s="40" t="s">
        <v>9</v>
      </c>
    </row>
    <row r="33" ht="36.0" customHeight="1">
      <c r="A33" s="33" t="s">
        <v>442</v>
      </c>
      <c r="B33" s="34" t="s">
        <v>102</v>
      </c>
      <c r="C33" s="34" t="s">
        <v>151</v>
      </c>
      <c r="D33" s="35" t="s">
        <v>464</v>
      </c>
      <c r="E33" s="36"/>
      <c r="F33" s="37"/>
      <c r="G33" s="36"/>
      <c r="H33" s="37"/>
      <c r="I33" s="36"/>
      <c r="J33" s="37"/>
      <c r="K33" s="36"/>
      <c r="L33" s="37"/>
      <c r="M33" s="38" t="s">
        <v>489</v>
      </c>
      <c r="N33" s="39" t="str">
        <f>IF(OR(NOT(ISNUMBER(K33)),K33=0),"",ROUND(K33*(1+Settings!$B$7),0))</f>
        <v/>
      </c>
      <c r="O33" s="39" t="str">
        <f>IF(OR(NOT(ISNUMBER(K33)),K33=0),"",ROUND(K33*(1+Settings!$C$7),0))</f>
        <v/>
      </c>
      <c r="P33" s="40" t="s">
        <v>9</v>
      </c>
    </row>
    <row r="34" ht="36.0" customHeight="1">
      <c r="A34" s="33" t="s">
        <v>490</v>
      </c>
      <c r="B34" s="34" t="s">
        <v>102</v>
      </c>
      <c r="C34" s="34" t="s">
        <v>258</v>
      </c>
      <c r="D34" s="35" t="s">
        <v>261</v>
      </c>
      <c r="E34" s="36"/>
      <c r="F34" s="37"/>
      <c r="G34" s="36"/>
      <c r="H34" s="37"/>
      <c r="I34" s="36"/>
      <c r="J34" s="37"/>
      <c r="K34" s="36"/>
      <c r="L34" s="37"/>
      <c r="M34" s="38" t="s">
        <v>491</v>
      </c>
      <c r="N34" s="39" t="str">
        <f>IF(OR(NOT(ISNUMBER(K34)),K34=0),"",ROUND(K34*(1+Settings!$B$7),0))</f>
        <v/>
      </c>
      <c r="O34" s="39" t="str">
        <f>IF(OR(NOT(ISNUMBER(K34)),K34=0),"",ROUND(K34*(1+Settings!$C$7),0))</f>
        <v/>
      </c>
      <c r="P34" s="40" t="s">
        <v>9</v>
      </c>
    </row>
    <row r="35" ht="36.0" customHeight="1">
      <c r="A35" s="33" t="s">
        <v>492</v>
      </c>
      <c r="B35" s="34" t="s">
        <v>102</v>
      </c>
      <c r="C35" s="34" t="s">
        <v>151</v>
      </c>
      <c r="D35" s="35" t="s">
        <v>327</v>
      </c>
      <c r="E35" s="36"/>
      <c r="F35" s="37"/>
      <c r="G35" s="36"/>
      <c r="H35" s="37"/>
      <c r="I35" s="36"/>
      <c r="J35" s="37"/>
      <c r="K35" s="36"/>
      <c r="L35" s="37"/>
      <c r="M35" s="38" t="s">
        <v>493</v>
      </c>
      <c r="N35" s="39" t="str">
        <f>IF(OR(NOT(ISNUMBER(K35)),K35=0),"",ROUND(K35*(1+Settings!$B$7),0))</f>
        <v/>
      </c>
      <c r="O35" s="39" t="str">
        <f>IF(OR(NOT(ISNUMBER(K35)),K35=0),"",ROUND(K35*(1+Settings!$C$7),0))</f>
        <v/>
      </c>
      <c r="P35" s="40" t="s">
        <v>9</v>
      </c>
    </row>
    <row r="36" ht="36.0" customHeight="1">
      <c r="A36" s="33" t="s">
        <v>494</v>
      </c>
      <c r="B36" s="34" t="s">
        <v>102</v>
      </c>
      <c r="C36" s="34" t="s">
        <v>495</v>
      </c>
      <c r="D36" s="35" t="s">
        <v>496</v>
      </c>
      <c r="E36" s="36"/>
      <c r="F36" s="37"/>
      <c r="G36" s="36"/>
      <c r="H36" s="37"/>
      <c r="I36" s="36"/>
      <c r="J36" s="37"/>
      <c r="K36" s="36"/>
      <c r="L36" s="37"/>
      <c r="M36" s="38" t="s">
        <v>497</v>
      </c>
      <c r="N36" s="39" t="str">
        <f>IF(OR(NOT(ISNUMBER(K36)),K36=0),"",ROUND(K36*(1+Settings!$B$11),0))</f>
        <v/>
      </c>
      <c r="O36" s="39" t="str">
        <f>IF(OR(NOT(ISNUMBER(K36)),K36=0),"",ROUND(K36*(1+Settings!$C$11),0))</f>
        <v/>
      </c>
      <c r="P36" s="40" t="s">
        <v>17</v>
      </c>
    </row>
    <row r="37" ht="36.0" customHeight="1">
      <c r="A37" s="33" t="s">
        <v>498</v>
      </c>
      <c r="B37" s="34" t="s">
        <v>102</v>
      </c>
      <c r="C37" s="34" t="s">
        <v>332</v>
      </c>
      <c r="D37" s="35" t="s">
        <v>499</v>
      </c>
      <c r="E37" s="36"/>
      <c r="F37" s="37"/>
      <c r="G37" s="36"/>
      <c r="H37" s="37"/>
      <c r="I37" s="36"/>
      <c r="J37" s="37"/>
      <c r="K37" s="36"/>
      <c r="L37" s="37"/>
      <c r="M37" s="38" t="s">
        <v>500</v>
      </c>
      <c r="N37" s="39" t="str">
        <f>IF(OR(NOT(ISNUMBER(K37)),K37=0),"",ROUND(K37*(1+Settings!$B$11),0))</f>
        <v/>
      </c>
      <c r="O37" s="39" t="str">
        <f>IF(OR(NOT(ISNUMBER(K37)),K37=0),"",ROUND(K37*(1+Settings!$C$11),0))</f>
        <v/>
      </c>
      <c r="P37" s="40" t="s">
        <v>17</v>
      </c>
    </row>
    <row r="38" ht="15.75" customHeight="1"/>
    <row r="39" ht="15.75" customHeight="1"/>
    <row r="40" ht="21.75" customHeight="1">
      <c r="A40" s="15" t="s">
        <v>123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</row>
    <row r="41" ht="18.0" customHeight="1">
      <c r="A41" s="19" t="s">
        <v>39</v>
      </c>
      <c r="B41" s="20"/>
      <c r="C41" s="20"/>
      <c r="D41" s="20"/>
      <c r="E41" s="20"/>
      <c r="F41" s="20"/>
      <c r="G41" s="21"/>
      <c r="H41" s="19" t="s">
        <v>40</v>
      </c>
      <c r="I41" s="20"/>
      <c r="J41" s="21"/>
      <c r="K41" s="19" t="s">
        <v>124</v>
      </c>
      <c r="L41" s="20"/>
      <c r="M41" s="20"/>
      <c r="N41" s="20"/>
      <c r="O41" s="20"/>
      <c r="P41" s="21"/>
    </row>
    <row r="42" ht="21.75" customHeight="1">
      <c r="A42" s="22" t="s">
        <v>207</v>
      </c>
      <c r="B42" s="20"/>
      <c r="C42" s="20"/>
      <c r="D42" s="20"/>
      <c r="E42" s="20"/>
      <c r="F42" s="20"/>
      <c r="G42" s="21"/>
      <c r="H42" s="22" t="s">
        <v>169</v>
      </c>
      <c r="I42" s="20"/>
      <c r="J42" s="21"/>
      <c r="K42" s="23" t="s">
        <v>501</v>
      </c>
      <c r="L42" s="20"/>
      <c r="M42" s="20"/>
      <c r="N42" s="20"/>
      <c r="O42" s="20"/>
      <c r="P42" s="21"/>
    </row>
    <row r="43" ht="21.75" customHeight="1">
      <c r="A43" s="24" t="s">
        <v>316</v>
      </c>
      <c r="B43" s="20"/>
      <c r="C43" s="20"/>
      <c r="D43" s="20"/>
      <c r="E43" s="20"/>
      <c r="F43" s="20"/>
      <c r="G43" s="21"/>
      <c r="H43" s="24" t="s">
        <v>169</v>
      </c>
      <c r="I43" s="20"/>
      <c r="J43" s="21"/>
      <c r="K43" s="25" t="s">
        <v>317</v>
      </c>
      <c r="L43" s="20"/>
      <c r="M43" s="20"/>
      <c r="N43" s="20"/>
      <c r="O43" s="20"/>
      <c r="P43" s="21"/>
    </row>
    <row r="44" ht="21.75" customHeight="1">
      <c r="A44" s="22" t="s">
        <v>502</v>
      </c>
      <c r="B44" s="20"/>
      <c r="C44" s="20"/>
      <c r="D44" s="20"/>
      <c r="E44" s="20"/>
      <c r="F44" s="20"/>
      <c r="G44" s="21"/>
      <c r="H44" s="22" t="s">
        <v>319</v>
      </c>
      <c r="I44" s="20"/>
      <c r="J44" s="21"/>
      <c r="K44" s="23" t="s">
        <v>320</v>
      </c>
      <c r="L44" s="20"/>
      <c r="M44" s="20"/>
      <c r="N44" s="20"/>
      <c r="O44" s="20"/>
      <c r="P44" s="21"/>
    </row>
    <row r="45" ht="15.75" customHeight="1"/>
    <row r="46" ht="15.75" customHeight="1">
      <c r="A46" s="8" t="s">
        <v>503</v>
      </c>
    </row>
    <row r="47" ht="15.75" customHeight="1">
      <c r="A47" s="3" t="s">
        <v>371</v>
      </c>
      <c r="B47" s="3" t="s">
        <v>504</v>
      </c>
      <c r="C47" s="3" t="s">
        <v>373</v>
      </c>
      <c r="D47" s="3" t="s">
        <v>374</v>
      </c>
      <c r="E47" s="3" t="s">
        <v>375</v>
      </c>
    </row>
    <row r="48" ht="27.75" customHeight="1">
      <c r="A48" s="33" t="s">
        <v>484</v>
      </c>
      <c r="B48" s="13" t="s">
        <v>296</v>
      </c>
      <c r="C48" s="43" t="str">
        <f>IF(ISNUMBER(M2D3!K31),M2D3!K31,"")</f>
        <v/>
      </c>
      <c r="D48" s="39" t="str">
        <f>IF(OR(NOT(ISNUMBER(M2D3!K31)),M2D3!K31=0),"",ROUND(M2D3!K31*(1+Settings!$B$6),0))</f>
        <v/>
      </c>
      <c r="E48" s="39" t="str">
        <f>IF(OR(NOT(ISNUMBER(M2D3!K31)),M2D3!K31=0),"",ROUND(M2D3!K31*(1+Settings!$C$6),0))</f>
        <v/>
      </c>
    </row>
    <row r="49" ht="27.75" customHeight="1">
      <c r="A49" s="33" t="s">
        <v>299</v>
      </c>
      <c r="B49" s="13" t="s">
        <v>299</v>
      </c>
      <c r="C49" s="43" t="str">
        <f>IF(ISNUMBER(M2D3!K32),M2D3!K32,"")</f>
        <v/>
      </c>
      <c r="D49" s="39" t="str">
        <f>IF(OR(NOT(ISNUMBER(M2D3!K32)),M2D3!K32=0),"",ROUND(M2D3!K32*(1+Settings!$B$7),0))</f>
        <v/>
      </c>
      <c r="E49" s="39" t="str">
        <f>IF(OR(NOT(ISNUMBER(M2D3!K32)),M2D3!K32=0),"",ROUND(M2D3!K32*(1+Settings!$C$7),0))</f>
        <v/>
      </c>
    </row>
    <row r="50" ht="27.75" customHeight="1">
      <c r="A50" s="33" t="s">
        <v>442</v>
      </c>
      <c r="B50" s="13" t="s">
        <v>302</v>
      </c>
      <c r="C50" s="43" t="str">
        <f>IF(ISNUMBER(M2D3!K33),M2D3!K33,"")</f>
        <v/>
      </c>
      <c r="D50" s="39" t="str">
        <f>IF(OR(NOT(ISNUMBER(M2D3!K33)),M2D3!K33=0),"",ROUND(M2D3!K33*(1+Settings!$B$7),0))</f>
        <v/>
      </c>
      <c r="E50" s="39" t="str">
        <f>IF(OR(NOT(ISNUMBER(M2D3!K33)),M2D3!K33=0),"",ROUND(M2D3!K33*(1+Settings!$C$7),0))</f>
        <v/>
      </c>
    </row>
    <row r="51" ht="27.75" customHeight="1">
      <c r="A51" s="33" t="s">
        <v>490</v>
      </c>
      <c r="B51" s="13" t="s">
        <v>309</v>
      </c>
      <c r="C51" s="43" t="str">
        <f>IF(ISNUMBER(M2D3!K36),M2D3!K36,"")</f>
        <v/>
      </c>
      <c r="D51" s="39" t="str">
        <f>IF(OR(NOT(ISNUMBER(M2D3!K36)),M2D3!K36=0),"",ROUND(M2D3!K36*(1+Settings!$B$7),0))</f>
        <v/>
      </c>
      <c r="E51" s="39" t="str">
        <f>IF(OR(NOT(ISNUMBER(M2D3!K36)),M2D3!K36=0),"",ROUND(M2D3!K36*(1+Settings!$C$7),0))</f>
        <v/>
      </c>
    </row>
    <row r="52" ht="27.75" customHeight="1">
      <c r="A52" s="33" t="s">
        <v>492</v>
      </c>
      <c r="B52" s="13" t="s">
        <v>311</v>
      </c>
      <c r="C52" s="43" t="str">
        <f>IF(ISNUMBER(M2D3!K37),M2D3!K37,"")</f>
        <v/>
      </c>
      <c r="D52" s="39" t="str">
        <f>IF(OR(NOT(ISNUMBER(M2D3!K37)),M2D3!K37=0),"",ROUND(M2D3!K37*(1+Settings!$B$7),0))</f>
        <v/>
      </c>
      <c r="E52" s="39" t="str">
        <f>IF(OR(NOT(ISNUMBER(M2D3!K37)),M2D3!K37=0),"",ROUND(M2D3!K37*(1+Settings!$C$7),0))</f>
        <v/>
      </c>
    </row>
    <row r="53" ht="27.75" customHeight="1">
      <c r="A53" s="33" t="s">
        <v>494</v>
      </c>
      <c r="B53" s="44" t="s">
        <v>398</v>
      </c>
      <c r="C53" s="34" t="s">
        <v>118</v>
      </c>
      <c r="D53" s="34" t="s">
        <v>118</v>
      </c>
      <c r="E53" s="34" t="s">
        <v>118</v>
      </c>
    </row>
    <row r="54" ht="27.75" customHeight="1">
      <c r="A54" s="33" t="s">
        <v>498</v>
      </c>
      <c r="B54" s="44" t="s">
        <v>398</v>
      </c>
      <c r="C54" s="34" t="s">
        <v>118</v>
      </c>
      <c r="D54" s="34" t="s">
        <v>118</v>
      </c>
      <c r="E54" s="34" t="s">
        <v>118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G29:H29"/>
    <mergeCell ref="I29:J29"/>
    <mergeCell ref="K29:L29"/>
    <mergeCell ref="M29:M30"/>
    <mergeCell ref="N29:O29"/>
    <mergeCell ref="P29:P30"/>
    <mergeCell ref="A22:P22"/>
    <mergeCell ref="A28:P28"/>
    <mergeCell ref="A29:A30"/>
    <mergeCell ref="B29:B30"/>
    <mergeCell ref="C29:C30"/>
    <mergeCell ref="D29:D30"/>
    <mergeCell ref="E29:F29"/>
    <mergeCell ref="A43:G43"/>
    <mergeCell ref="H43:J43"/>
    <mergeCell ref="K43:P43"/>
    <mergeCell ref="A44:G44"/>
    <mergeCell ref="H44:J44"/>
    <mergeCell ref="K44:P44"/>
    <mergeCell ref="A46:P46"/>
    <mergeCell ref="A40:P40"/>
    <mergeCell ref="A41:G41"/>
    <mergeCell ref="H41:J41"/>
    <mergeCell ref="K41:P41"/>
    <mergeCell ref="A42:G42"/>
    <mergeCell ref="H42:J42"/>
    <mergeCell ref="K42:P42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A18:G18"/>
    <mergeCell ref="H18:J18"/>
    <mergeCell ref="K18:P18"/>
    <mergeCell ref="A19:G19"/>
    <mergeCell ref="H19:J19"/>
    <mergeCell ref="K19:P19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505</v>
      </c>
    </row>
    <row r="2" ht="31.5" customHeight="1">
      <c r="A2" s="14" t="s">
        <v>506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135</v>
      </c>
      <c r="B7" s="20"/>
      <c r="C7" s="20"/>
      <c r="D7" s="20"/>
      <c r="E7" s="20"/>
      <c r="F7" s="20"/>
      <c r="G7" s="21"/>
      <c r="H7" s="24" t="s">
        <v>136</v>
      </c>
      <c r="I7" s="20"/>
      <c r="J7" s="21"/>
      <c r="K7" s="25" t="s">
        <v>137</v>
      </c>
      <c r="L7" s="20"/>
      <c r="M7" s="20"/>
      <c r="N7" s="20"/>
      <c r="O7" s="20"/>
      <c r="P7" s="21"/>
    </row>
    <row r="8" ht="18.0" customHeight="1">
      <c r="A8" s="22" t="s">
        <v>51</v>
      </c>
      <c r="B8" s="20"/>
      <c r="C8" s="20"/>
      <c r="D8" s="20"/>
      <c r="E8" s="20"/>
      <c r="F8" s="20"/>
      <c r="G8" s="21"/>
      <c r="H8" s="22" t="s">
        <v>52</v>
      </c>
      <c r="I8" s="20"/>
      <c r="J8" s="21"/>
      <c r="K8" s="23" t="s">
        <v>53</v>
      </c>
      <c r="L8" s="20"/>
      <c r="M8" s="20"/>
      <c r="N8" s="20"/>
      <c r="O8" s="20"/>
      <c r="P8" s="21"/>
    </row>
    <row r="9" ht="18.0" customHeight="1">
      <c r="A9" s="24" t="s">
        <v>45</v>
      </c>
      <c r="B9" s="20"/>
      <c r="C9" s="20"/>
      <c r="D9" s="20"/>
      <c r="E9" s="20"/>
      <c r="F9" s="20"/>
      <c r="G9" s="21"/>
      <c r="H9" s="24" t="s">
        <v>46</v>
      </c>
      <c r="I9" s="20"/>
      <c r="J9" s="21"/>
      <c r="K9" s="25" t="s">
        <v>47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" t="s">
        <v>140</v>
      </c>
    </row>
    <row r="23" ht="15.75" customHeight="1"/>
    <row r="24" ht="15.75" customHeight="1"/>
    <row r="25" ht="15.75" customHeight="1"/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459</v>
      </c>
      <c r="F29" s="21"/>
      <c r="G29" s="31" t="s">
        <v>460</v>
      </c>
      <c r="H29" s="21"/>
      <c r="I29" s="31" t="s">
        <v>461</v>
      </c>
      <c r="J29" s="21"/>
      <c r="K29" s="31" t="s">
        <v>462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141</v>
      </c>
      <c r="B31" s="34" t="s">
        <v>143</v>
      </c>
      <c r="C31" s="34" t="s">
        <v>507</v>
      </c>
      <c r="D31" s="35" t="s">
        <v>508</v>
      </c>
      <c r="E31" s="36"/>
      <c r="F31" s="37"/>
      <c r="G31" s="36"/>
      <c r="H31" s="37"/>
      <c r="I31" s="36"/>
      <c r="J31" s="37"/>
      <c r="K31" s="36"/>
      <c r="L31" s="37"/>
      <c r="M31" s="38" t="s">
        <v>509</v>
      </c>
      <c r="N31" s="39" t="str">
        <f>IF(OR(NOT(ISNUMBER(K31)),K31=0),"",ROUND(K31*(1+Settings!$B$6),0))</f>
        <v/>
      </c>
      <c r="O31" s="39" t="str">
        <f>IF(OR(NOT(ISNUMBER(K31)),K31=0),"",ROUND(K31*(1+Settings!$C$6),0))</f>
        <v/>
      </c>
      <c r="P31" s="40" t="s">
        <v>7</v>
      </c>
    </row>
    <row r="32" ht="36.0" customHeight="1">
      <c r="A32" s="33" t="s">
        <v>275</v>
      </c>
      <c r="B32" s="34" t="s">
        <v>142</v>
      </c>
      <c r="C32" s="34" t="s">
        <v>49</v>
      </c>
      <c r="D32" s="35" t="s">
        <v>508</v>
      </c>
      <c r="E32" s="36"/>
      <c r="F32" s="37"/>
      <c r="G32" s="36"/>
      <c r="H32" s="37"/>
      <c r="I32" s="36"/>
      <c r="J32" s="37"/>
      <c r="K32" s="36"/>
      <c r="L32" s="37"/>
      <c r="M32" s="38" t="s">
        <v>510</v>
      </c>
      <c r="N32" s="39" t="str">
        <f>IF(OR(NOT(ISNUMBER(K32)),K32=0),"",ROUND(K32*(1+Settings!$B$8),0))</f>
        <v/>
      </c>
      <c r="O32" s="39" t="str">
        <f>IF(OR(NOT(ISNUMBER(K32)),K32=0),"",ROUND(K32*(1+Settings!$C$8),0))</f>
        <v/>
      </c>
      <c r="P32" s="40" t="s">
        <v>11</v>
      </c>
    </row>
    <row r="33" ht="36.0" customHeight="1">
      <c r="A33" s="33" t="s">
        <v>511</v>
      </c>
      <c r="B33" s="34" t="s">
        <v>142</v>
      </c>
      <c r="C33" s="34" t="s">
        <v>106</v>
      </c>
      <c r="D33" s="35" t="s">
        <v>508</v>
      </c>
      <c r="E33" s="36"/>
      <c r="F33" s="37"/>
      <c r="G33" s="36"/>
      <c r="H33" s="37"/>
      <c r="I33" s="36"/>
      <c r="J33" s="37"/>
      <c r="K33" s="36"/>
      <c r="L33" s="37"/>
      <c r="M33" s="38" t="s">
        <v>512</v>
      </c>
      <c r="N33" s="39" t="str">
        <f>IF(OR(NOT(ISNUMBER(K33)),K33=0),"",ROUND(K33*(1+Settings!$B$6),0))</f>
        <v/>
      </c>
      <c r="O33" s="39" t="str">
        <f>IF(OR(NOT(ISNUMBER(K33)),K33=0),"",ROUND(K33*(1+Settings!$C$6),0))</f>
        <v/>
      </c>
      <c r="P33" s="40" t="s">
        <v>7</v>
      </c>
    </row>
    <row r="34" ht="36.0" customHeight="1">
      <c r="A34" s="33" t="s">
        <v>513</v>
      </c>
      <c r="B34" s="34" t="s">
        <v>102</v>
      </c>
      <c r="C34" s="34" t="s">
        <v>143</v>
      </c>
      <c r="D34" s="35" t="s">
        <v>514</v>
      </c>
      <c r="E34" s="36"/>
      <c r="F34" s="37"/>
      <c r="G34" s="36"/>
      <c r="H34" s="37"/>
      <c r="I34" s="36"/>
      <c r="J34" s="37"/>
      <c r="K34" s="36"/>
      <c r="L34" s="37"/>
      <c r="M34" s="38" t="s">
        <v>515</v>
      </c>
      <c r="N34" s="34" t="s">
        <v>118</v>
      </c>
      <c r="O34" s="34" t="s">
        <v>118</v>
      </c>
      <c r="P34" s="40" t="s">
        <v>9</v>
      </c>
    </row>
    <row r="35" ht="36.0" customHeight="1">
      <c r="A35" s="33" t="s">
        <v>283</v>
      </c>
      <c r="B35" s="34" t="s">
        <v>102</v>
      </c>
      <c r="C35" s="34" t="s">
        <v>284</v>
      </c>
      <c r="D35" s="35" t="s">
        <v>516</v>
      </c>
      <c r="E35" s="36"/>
      <c r="F35" s="37"/>
      <c r="G35" s="36"/>
      <c r="H35" s="37"/>
      <c r="I35" s="36"/>
      <c r="J35" s="37"/>
      <c r="K35" s="36"/>
      <c r="L35" s="37"/>
      <c r="M35" s="38" t="s">
        <v>517</v>
      </c>
      <c r="N35" s="39" t="str">
        <f>IF(OR(NOT(ISNUMBER(K35)),K35=0),"",ROUND(K35*(1+Settings!$B$8),0))</f>
        <v/>
      </c>
      <c r="O35" s="39" t="str">
        <f>IF(OR(NOT(ISNUMBER(K35)),K35=0),"",ROUND(K35*(1+Settings!$C$8),0))</f>
        <v/>
      </c>
      <c r="P35" s="40" t="s">
        <v>11</v>
      </c>
    </row>
    <row r="36" ht="36.0" customHeight="1">
      <c r="A36" s="33" t="s">
        <v>518</v>
      </c>
      <c r="B36" s="34" t="s">
        <v>102</v>
      </c>
      <c r="C36" s="34" t="s">
        <v>201</v>
      </c>
      <c r="D36" s="35" t="s">
        <v>261</v>
      </c>
      <c r="E36" s="36"/>
      <c r="F36" s="37"/>
      <c r="G36" s="36"/>
      <c r="H36" s="37"/>
      <c r="I36" s="36"/>
      <c r="J36" s="37"/>
      <c r="K36" s="36"/>
      <c r="L36" s="37"/>
      <c r="M36" s="38" t="s">
        <v>519</v>
      </c>
      <c r="N36" s="39" t="str">
        <f>IF(OR(NOT(ISNUMBER(K36)),K36=0),"",ROUND(K36*(1+Settings!$B$11),0))</f>
        <v/>
      </c>
      <c r="O36" s="39" t="str">
        <f>IF(OR(NOT(ISNUMBER(K36)),K36=0),"",ROUND(K36*(1+Settings!$C$11),0))</f>
        <v/>
      </c>
      <c r="P36" s="40" t="s">
        <v>17</v>
      </c>
    </row>
    <row r="37" ht="15.75" customHeight="1"/>
    <row r="38" ht="15.75" customHeight="1"/>
    <row r="39" ht="21.75" customHeight="1">
      <c r="A39" s="15" t="s">
        <v>123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ht="18.0" customHeight="1">
      <c r="A40" s="19" t="s">
        <v>39</v>
      </c>
      <c r="B40" s="20"/>
      <c r="C40" s="20"/>
      <c r="D40" s="20"/>
      <c r="E40" s="20"/>
      <c r="F40" s="20"/>
      <c r="G40" s="21"/>
      <c r="H40" s="19" t="s">
        <v>40</v>
      </c>
      <c r="I40" s="20"/>
      <c r="J40" s="21"/>
      <c r="K40" s="19" t="s">
        <v>124</v>
      </c>
      <c r="L40" s="20"/>
      <c r="M40" s="20"/>
      <c r="N40" s="20"/>
      <c r="O40" s="20"/>
      <c r="P40" s="21"/>
    </row>
    <row r="41" ht="21.75" customHeight="1">
      <c r="A41" s="22" t="s">
        <v>165</v>
      </c>
      <c r="B41" s="20"/>
      <c r="C41" s="20"/>
      <c r="D41" s="20"/>
      <c r="E41" s="20"/>
      <c r="F41" s="20"/>
      <c r="G41" s="21"/>
      <c r="H41" s="22" t="s">
        <v>166</v>
      </c>
      <c r="I41" s="20"/>
      <c r="J41" s="21"/>
      <c r="K41" s="23" t="s">
        <v>520</v>
      </c>
      <c r="L41" s="20"/>
      <c r="M41" s="20"/>
      <c r="N41" s="20"/>
      <c r="O41" s="20"/>
      <c r="P41" s="21"/>
    </row>
    <row r="42" ht="21.75" customHeight="1">
      <c r="A42" s="24" t="s">
        <v>289</v>
      </c>
      <c r="B42" s="20"/>
      <c r="C42" s="20"/>
      <c r="D42" s="20"/>
      <c r="E42" s="20"/>
      <c r="F42" s="20"/>
      <c r="G42" s="21"/>
      <c r="H42" s="24" t="s">
        <v>172</v>
      </c>
      <c r="I42" s="20"/>
      <c r="J42" s="21"/>
      <c r="K42" s="25" t="s">
        <v>290</v>
      </c>
      <c r="L42" s="20"/>
      <c r="M42" s="20"/>
      <c r="N42" s="20"/>
      <c r="O42" s="20"/>
      <c r="P42" s="21"/>
    </row>
    <row r="43" ht="21.75" customHeight="1">
      <c r="A43" s="22" t="s">
        <v>204</v>
      </c>
      <c r="B43" s="20"/>
      <c r="C43" s="20"/>
      <c r="D43" s="20"/>
      <c r="E43" s="20"/>
      <c r="F43" s="20"/>
      <c r="G43" s="21"/>
      <c r="H43" s="22" t="s">
        <v>205</v>
      </c>
      <c r="I43" s="20"/>
      <c r="J43" s="21"/>
      <c r="K43" s="23" t="s">
        <v>206</v>
      </c>
      <c r="L43" s="20"/>
      <c r="M43" s="20"/>
      <c r="N43" s="20"/>
      <c r="O43" s="20"/>
      <c r="P43" s="21"/>
    </row>
    <row r="44" ht="15.75" customHeight="1"/>
    <row r="45" ht="15.75" customHeight="1">
      <c r="A45" s="8" t="s">
        <v>521</v>
      </c>
    </row>
    <row r="46" ht="15.75" customHeight="1">
      <c r="A46" s="3" t="s">
        <v>371</v>
      </c>
      <c r="B46" s="3" t="s">
        <v>522</v>
      </c>
      <c r="C46" s="3" t="s">
        <v>373</v>
      </c>
      <c r="D46" s="3" t="s">
        <v>374</v>
      </c>
      <c r="E46" s="3" t="s">
        <v>375</v>
      </c>
    </row>
    <row r="47" ht="27.75" customHeight="1">
      <c r="A47" s="33" t="s">
        <v>141</v>
      </c>
      <c r="B47" s="13" t="s">
        <v>141</v>
      </c>
      <c r="C47" s="43" t="str">
        <f>IF(ISNUMBER(M2D2!K31),M2D2!K31,"")</f>
        <v/>
      </c>
      <c r="D47" s="39" t="str">
        <f>IF(OR(NOT(ISNUMBER(M2D2!K31)),M2D2!K31=0),"",ROUND(M2D2!K31*(1+Settings!$B$6),0))</f>
        <v/>
      </c>
      <c r="E47" s="39" t="str">
        <f>IF(OR(NOT(ISNUMBER(M2D2!K31)),M2D2!K31=0),"",ROUND(M2D2!K31*(1+Settings!$C$6),0))</f>
        <v/>
      </c>
    </row>
    <row r="48" ht="27.75" customHeight="1">
      <c r="A48" s="33" t="s">
        <v>275</v>
      </c>
      <c r="B48" s="13" t="s">
        <v>275</v>
      </c>
      <c r="C48" s="43" t="str">
        <f>IF(ISNUMBER(M2D2!K32),M2D2!K32,"")</f>
        <v/>
      </c>
      <c r="D48" s="39" t="str">
        <f>IF(OR(NOT(ISNUMBER(M2D2!K32)),M2D2!K32=0),"",ROUND(M2D2!K32*(1+Settings!$B$8),0))</f>
        <v/>
      </c>
      <c r="E48" s="39" t="str">
        <f>IF(OR(NOT(ISNUMBER(M2D2!K32)),M2D2!K32=0),"",ROUND(M2D2!K32*(1+Settings!$C$8),0))</f>
        <v/>
      </c>
    </row>
    <row r="49" ht="27.75" customHeight="1">
      <c r="A49" s="33" t="s">
        <v>511</v>
      </c>
      <c r="B49" s="13" t="s">
        <v>277</v>
      </c>
      <c r="C49" s="43" t="str">
        <f>IF(ISNUMBER(M2D2!K33),M2D2!K33,"")</f>
        <v/>
      </c>
      <c r="D49" s="39" t="str">
        <f>IF(OR(NOT(ISNUMBER(M2D2!K33)),M2D2!K33=0),"",ROUND(M2D2!K33*(1+Settings!$B$6),0))</f>
        <v/>
      </c>
      <c r="E49" s="39" t="str">
        <f>IF(OR(NOT(ISNUMBER(M2D2!K33)),M2D2!K33=0),"",ROUND(M2D2!K33*(1+Settings!$C$6),0))</f>
        <v/>
      </c>
    </row>
    <row r="50" ht="27.75" customHeight="1">
      <c r="A50" s="33" t="s">
        <v>513</v>
      </c>
      <c r="B50" s="13" t="s">
        <v>280</v>
      </c>
      <c r="C50" s="43" t="str">
        <f>IF(ISNUMBER(M2D2!K34),M2D2!K34,"")</f>
        <v/>
      </c>
      <c r="D50" s="34" t="s">
        <v>118</v>
      </c>
      <c r="E50" s="34" t="s">
        <v>118</v>
      </c>
    </row>
    <row r="51" ht="27.75" customHeight="1">
      <c r="A51" s="33" t="s">
        <v>283</v>
      </c>
      <c r="B51" s="13" t="s">
        <v>283</v>
      </c>
      <c r="C51" s="43" t="str">
        <f>IF(ISNUMBER(M2D2!K35),M2D2!K35,"")</f>
        <v/>
      </c>
      <c r="D51" s="39" t="str">
        <f>IF(OR(NOT(ISNUMBER(M2D2!K35)),M2D2!K35=0),"",ROUND(M2D2!K35*(1+Settings!$B$8),0))</f>
        <v/>
      </c>
      <c r="E51" s="39" t="str">
        <f>IF(OR(NOT(ISNUMBER(M2D2!K35)),M2D2!K35=0),"",ROUND(M2D2!K35*(1+Settings!$C$8),0))</f>
        <v/>
      </c>
    </row>
    <row r="52" ht="27.75" customHeight="1">
      <c r="A52" s="33" t="s">
        <v>518</v>
      </c>
      <c r="B52" s="13" t="s">
        <v>286</v>
      </c>
      <c r="C52" s="43" t="str">
        <f>IF(ISNUMBER(M2D2!K36),M2D2!K36,"")</f>
        <v/>
      </c>
      <c r="D52" s="39" t="str">
        <f>IF(OR(NOT(ISNUMBER(M2D2!K36)),M2D2!K36=0),"",ROUND(M2D2!K36*(1+Settings!$B$11),0))</f>
        <v/>
      </c>
      <c r="E52" s="39" t="str">
        <f>IF(OR(NOT(ISNUMBER(M2D2!K36)),M2D2!K36=0),"",ROUND(M2D2!K36*(1+Settings!$C$11),0))</f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G29:H29"/>
    <mergeCell ref="I29:J29"/>
    <mergeCell ref="K29:L29"/>
    <mergeCell ref="M29:M30"/>
    <mergeCell ref="N29:O29"/>
    <mergeCell ref="P29:P30"/>
    <mergeCell ref="A22:P22"/>
    <mergeCell ref="A28:P28"/>
    <mergeCell ref="A29:A30"/>
    <mergeCell ref="B29:B30"/>
    <mergeCell ref="C29:C30"/>
    <mergeCell ref="D29:D30"/>
    <mergeCell ref="E29:F29"/>
    <mergeCell ref="A42:G42"/>
    <mergeCell ref="H42:J42"/>
    <mergeCell ref="K42:P42"/>
    <mergeCell ref="A43:G43"/>
    <mergeCell ref="H43:J43"/>
    <mergeCell ref="K43:P43"/>
    <mergeCell ref="A45:P45"/>
    <mergeCell ref="A39:P39"/>
    <mergeCell ref="A40:G40"/>
    <mergeCell ref="H40:J40"/>
    <mergeCell ref="K40:P40"/>
    <mergeCell ref="A41:G41"/>
    <mergeCell ref="H41:J41"/>
    <mergeCell ref="K41:P41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A18:G18"/>
    <mergeCell ref="H18:J18"/>
    <mergeCell ref="K18:P18"/>
    <mergeCell ref="A19:G19"/>
    <mergeCell ref="H19:J19"/>
    <mergeCell ref="K19:P19"/>
    <mergeCell ref="A21:P21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8.0"/>
    <col customWidth="1" min="2" max="2" width="6.0"/>
    <col customWidth="1" min="3" max="3" width="12.0"/>
    <col customWidth="1" min="4" max="4" width="22.0"/>
    <col customWidth="1" min="5" max="5" width="10.0"/>
    <col customWidth="1" min="6" max="6" width="7.0"/>
    <col customWidth="1" min="7" max="7" width="10.0"/>
    <col customWidth="1" min="8" max="8" width="7.0"/>
    <col customWidth="1" min="9" max="9" width="10.0"/>
    <col customWidth="1" min="10" max="10" width="7.0"/>
    <col customWidth="1" min="11" max="11" width="10.0"/>
    <col customWidth="1" min="12" max="12" width="7.0"/>
    <col customWidth="1" min="13" max="13" width="32.0"/>
    <col customWidth="1" min="14" max="15" width="11.0"/>
    <col customWidth="1" min="16" max="16" width="12.0"/>
    <col customWidth="1" min="17" max="26" width="8.71"/>
  </cols>
  <sheetData>
    <row r="1" ht="24.0" customHeight="1">
      <c r="A1" s="1" t="s">
        <v>523</v>
      </c>
    </row>
    <row r="2" ht="31.5" customHeight="1">
      <c r="A2" s="14" t="s">
        <v>524</v>
      </c>
    </row>
    <row r="3" ht="21.75" customHeight="1">
      <c r="A3" s="15" t="s">
        <v>37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7"/>
    </row>
    <row r="4" ht="18.0" customHeight="1">
      <c r="A4" s="18" t="s">
        <v>38</v>
      </c>
    </row>
    <row r="5" ht="18.0" customHeight="1">
      <c r="A5" s="19" t="s">
        <v>39</v>
      </c>
      <c r="B5" s="20"/>
      <c r="C5" s="20"/>
      <c r="D5" s="20"/>
      <c r="E5" s="20"/>
      <c r="F5" s="20"/>
      <c r="G5" s="21"/>
      <c r="H5" s="19" t="s">
        <v>40</v>
      </c>
      <c r="I5" s="20"/>
      <c r="J5" s="21"/>
      <c r="K5" s="19" t="s">
        <v>41</v>
      </c>
      <c r="L5" s="20"/>
      <c r="M5" s="20"/>
      <c r="N5" s="20"/>
      <c r="O5" s="20"/>
      <c r="P5" s="21"/>
    </row>
    <row r="6" ht="18.0" customHeight="1">
      <c r="A6" s="22" t="s">
        <v>42</v>
      </c>
      <c r="B6" s="20"/>
      <c r="C6" s="20"/>
      <c r="D6" s="20"/>
      <c r="E6" s="20"/>
      <c r="F6" s="20"/>
      <c r="G6" s="21"/>
      <c r="H6" s="22" t="s">
        <v>43</v>
      </c>
      <c r="I6" s="20"/>
      <c r="J6" s="21"/>
      <c r="K6" s="23" t="s">
        <v>44</v>
      </c>
      <c r="L6" s="20"/>
      <c r="M6" s="20"/>
      <c r="N6" s="20"/>
      <c r="O6" s="20"/>
      <c r="P6" s="21"/>
    </row>
    <row r="7" ht="18.0" customHeight="1">
      <c r="A7" s="24" t="s">
        <v>45</v>
      </c>
      <c r="B7" s="20"/>
      <c r="C7" s="20"/>
      <c r="D7" s="20"/>
      <c r="E7" s="20"/>
      <c r="F7" s="20"/>
      <c r="G7" s="21"/>
      <c r="H7" s="24" t="s">
        <v>46</v>
      </c>
      <c r="I7" s="20"/>
      <c r="J7" s="21"/>
      <c r="K7" s="25" t="s">
        <v>47</v>
      </c>
      <c r="L7" s="20"/>
      <c r="M7" s="20"/>
      <c r="N7" s="20"/>
      <c r="O7" s="20"/>
      <c r="P7" s="21"/>
    </row>
    <row r="8" ht="18.0" customHeight="1">
      <c r="A8" s="22" t="s">
        <v>178</v>
      </c>
      <c r="B8" s="20"/>
      <c r="C8" s="20"/>
      <c r="D8" s="20"/>
      <c r="E8" s="20"/>
      <c r="F8" s="20"/>
      <c r="G8" s="21"/>
      <c r="H8" s="22" t="s">
        <v>179</v>
      </c>
      <c r="I8" s="20"/>
      <c r="J8" s="21"/>
      <c r="K8" s="23" t="s">
        <v>180</v>
      </c>
      <c r="L8" s="20"/>
      <c r="M8" s="20"/>
      <c r="N8" s="20"/>
      <c r="O8" s="20"/>
      <c r="P8" s="21"/>
    </row>
    <row r="9" ht="18.0" customHeight="1">
      <c r="A9" s="24" t="s">
        <v>48</v>
      </c>
      <c r="B9" s="20"/>
      <c r="C9" s="20"/>
      <c r="D9" s="20"/>
      <c r="E9" s="20"/>
      <c r="F9" s="20"/>
      <c r="G9" s="21"/>
      <c r="H9" s="24" t="s">
        <v>49</v>
      </c>
      <c r="I9" s="20"/>
      <c r="J9" s="21"/>
      <c r="K9" s="25" t="s">
        <v>50</v>
      </c>
      <c r="L9" s="20"/>
      <c r="M9" s="20"/>
      <c r="N9" s="20"/>
      <c r="O9" s="20"/>
      <c r="P9" s="21"/>
    </row>
    <row r="10" ht="18.0" customHeight="1">
      <c r="A10" s="18" t="s">
        <v>54</v>
      </c>
    </row>
    <row r="11" ht="18.0" customHeight="1">
      <c r="A11" s="19" t="s">
        <v>55</v>
      </c>
      <c r="B11" s="20"/>
      <c r="C11" s="20"/>
      <c r="D11" s="20"/>
      <c r="E11" s="20"/>
      <c r="F11" s="20"/>
      <c r="G11" s="21"/>
      <c r="H11" s="19" t="s">
        <v>56</v>
      </c>
      <c r="I11" s="20"/>
      <c r="J11" s="21"/>
      <c r="K11" s="19" t="s">
        <v>57</v>
      </c>
      <c r="L11" s="20"/>
      <c r="M11" s="20"/>
      <c r="N11" s="20"/>
      <c r="O11" s="20"/>
      <c r="P11" s="21"/>
    </row>
    <row r="12" ht="18.0" customHeight="1">
      <c r="A12" s="22" t="s">
        <v>58</v>
      </c>
      <c r="B12" s="20"/>
      <c r="C12" s="20"/>
      <c r="D12" s="20"/>
      <c r="E12" s="20"/>
      <c r="F12" s="20"/>
      <c r="G12" s="21"/>
      <c r="H12" s="22" t="s">
        <v>59</v>
      </c>
      <c r="I12" s="20"/>
      <c r="J12" s="21"/>
      <c r="K12" s="23" t="s">
        <v>60</v>
      </c>
      <c r="L12" s="20"/>
      <c r="M12" s="20"/>
      <c r="N12" s="20"/>
      <c r="O12" s="20"/>
      <c r="P12" s="21"/>
    </row>
    <row r="13" ht="18.0" customHeight="1">
      <c r="A13" s="24" t="s">
        <v>61</v>
      </c>
      <c r="B13" s="20"/>
      <c r="C13" s="20"/>
      <c r="D13" s="20"/>
      <c r="E13" s="20"/>
      <c r="F13" s="20"/>
      <c r="G13" s="21"/>
      <c r="H13" s="24" t="s">
        <v>62</v>
      </c>
      <c r="I13" s="20"/>
      <c r="J13" s="21"/>
      <c r="K13" s="25" t="s">
        <v>63</v>
      </c>
      <c r="L13" s="20"/>
      <c r="M13" s="20"/>
      <c r="N13" s="20"/>
      <c r="O13" s="20"/>
      <c r="P13" s="21"/>
    </row>
    <row r="14" ht="18.0" customHeight="1">
      <c r="A14" s="22" t="s">
        <v>64</v>
      </c>
      <c r="B14" s="20"/>
      <c r="C14" s="20"/>
      <c r="D14" s="20"/>
      <c r="E14" s="20"/>
      <c r="F14" s="20"/>
      <c r="G14" s="21"/>
      <c r="H14" s="22" t="s">
        <v>65</v>
      </c>
      <c r="I14" s="20"/>
      <c r="J14" s="21"/>
      <c r="K14" s="23" t="s">
        <v>66</v>
      </c>
      <c r="L14" s="20"/>
      <c r="M14" s="20"/>
      <c r="N14" s="20"/>
      <c r="O14" s="20"/>
      <c r="P14" s="21"/>
    </row>
    <row r="15" ht="18.0" customHeight="1">
      <c r="A15" s="24" t="s">
        <v>67</v>
      </c>
      <c r="B15" s="20"/>
      <c r="C15" s="20"/>
      <c r="D15" s="20"/>
      <c r="E15" s="20"/>
      <c r="F15" s="20"/>
      <c r="G15" s="21"/>
      <c r="H15" s="24" t="s">
        <v>68</v>
      </c>
      <c r="I15" s="20"/>
      <c r="J15" s="21"/>
      <c r="K15" s="25" t="s">
        <v>69</v>
      </c>
      <c r="L15" s="20"/>
      <c r="M15" s="20"/>
      <c r="N15" s="20"/>
      <c r="O15" s="20"/>
      <c r="P15" s="21"/>
    </row>
    <row r="16" ht="18.0" customHeight="1">
      <c r="A16" s="22" t="s">
        <v>70</v>
      </c>
      <c r="B16" s="20"/>
      <c r="C16" s="20"/>
      <c r="D16" s="20"/>
      <c r="E16" s="20"/>
      <c r="F16" s="20"/>
      <c r="G16" s="21"/>
      <c r="H16" s="22" t="s">
        <v>71</v>
      </c>
      <c r="I16" s="20"/>
      <c r="J16" s="21"/>
      <c r="K16" s="23" t="s">
        <v>72</v>
      </c>
      <c r="L16" s="20"/>
      <c r="M16" s="20"/>
      <c r="N16" s="20"/>
      <c r="O16" s="20"/>
      <c r="P16" s="21"/>
    </row>
    <row r="17" ht="18.0" customHeight="1">
      <c r="A17" s="24" t="s">
        <v>73</v>
      </c>
      <c r="B17" s="20"/>
      <c r="C17" s="20"/>
      <c r="D17" s="20"/>
      <c r="E17" s="20"/>
      <c r="F17" s="20"/>
      <c r="G17" s="21"/>
      <c r="H17" s="24" t="s">
        <v>46</v>
      </c>
      <c r="I17" s="20"/>
      <c r="J17" s="21"/>
      <c r="K17" s="25" t="s">
        <v>74</v>
      </c>
      <c r="L17" s="20"/>
      <c r="M17" s="20"/>
      <c r="N17" s="20"/>
      <c r="O17" s="20"/>
      <c r="P17" s="21"/>
    </row>
    <row r="18" ht="18.0" customHeight="1">
      <c r="A18" s="22" t="s">
        <v>75</v>
      </c>
      <c r="B18" s="20"/>
      <c r="C18" s="20"/>
      <c r="D18" s="20"/>
      <c r="E18" s="20"/>
      <c r="F18" s="20"/>
      <c r="G18" s="21"/>
      <c r="H18" s="22" t="s">
        <v>76</v>
      </c>
      <c r="I18" s="20"/>
      <c r="J18" s="21"/>
      <c r="K18" s="23" t="s">
        <v>77</v>
      </c>
      <c r="L18" s="20"/>
      <c r="M18" s="20"/>
      <c r="N18" s="20"/>
      <c r="O18" s="20"/>
      <c r="P18" s="21"/>
    </row>
    <row r="19" ht="18.0" customHeight="1">
      <c r="A19" s="24" t="s">
        <v>78</v>
      </c>
      <c r="B19" s="20"/>
      <c r="C19" s="20"/>
      <c r="D19" s="20"/>
      <c r="E19" s="20"/>
      <c r="F19" s="20"/>
      <c r="G19" s="21"/>
      <c r="H19" s="24" t="s">
        <v>79</v>
      </c>
      <c r="I19" s="20"/>
      <c r="J19" s="21"/>
      <c r="K19" s="25" t="s">
        <v>80</v>
      </c>
      <c r="L19" s="20"/>
      <c r="M19" s="20"/>
      <c r="N19" s="20"/>
      <c r="O19" s="20"/>
      <c r="P19" s="21"/>
    </row>
    <row r="21" ht="21.75" customHeight="1">
      <c r="A21" s="26" t="s">
        <v>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8.0" customHeight="1">
      <c r="A22" s="27" t="s">
        <v>525</v>
      </c>
    </row>
    <row r="23" ht="18.0" customHeight="1">
      <c r="A23" s="19" t="s">
        <v>83</v>
      </c>
      <c r="B23" s="20"/>
      <c r="C23" s="20"/>
      <c r="D23" s="20"/>
      <c r="E23" s="20"/>
      <c r="F23" s="20"/>
      <c r="G23" s="21"/>
      <c r="H23" s="19" t="s">
        <v>40</v>
      </c>
      <c r="I23" s="20"/>
      <c r="J23" s="21"/>
      <c r="K23" s="19" t="s">
        <v>41</v>
      </c>
      <c r="L23" s="20"/>
      <c r="M23" s="20"/>
      <c r="N23" s="20"/>
      <c r="O23" s="20"/>
      <c r="P23" s="21"/>
    </row>
    <row r="24" ht="21.75" customHeight="1">
      <c r="A24" s="28" t="s">
        <v>526</v>
      </c>
      <c r="B24" s="20"/>
      <c r="C24" s="20"/>
      <c r="D24" s="20"/>
      <c r="E24" s="20"/>
      <c r="F24" s="20"/>
      <c r="G24" s="21"/>
      <c r="H24" s="22" t="s">
        <v>527</v>
      </c>
      <c r="I24" s="20"/>
      <c r="J24" s="21"/>
      <c r="K24" s="23" t="s">
        <v>528</v>
      </c>
      <c r="L24" s="20"/>
      <c r="M24" s="20"/>
      <c r="N24" s="20"/>
      <c r="O24" s="20"/>
      <c r="P24" s="21"/>
    </row>
    <row r="25" ht="21.75" customHeight="1">
      <c r="A25" s="45" t="s">
        <v>529</v>
      </c>
      <c r="B25" s="20"/>
      <c r="C25" s="20"/>
      <c r="D25" s="20"/>
      <c r="E25" s="20"/>
      <c r="F25" s="20"/>
      <c r="G25" s="21"/>
      <c r="H25" s="24" t="s">
        <v>530</v>
      </c>
      <c r="I25" s="20"/>
      <c r="J25" s="21"/>
      <c r="K25" s="25" t="s">
        <v>531</v>
      </c>
      <c r="L25" s="20"/>
      <c r="M25" s="20"/>
      <c r="N25" s="20"/>
      <c r="O25" s="20"/>
      <c r="P25" s="21"/>
    </row>
    <row r="26" ht="15.75" customHeight="1"/>
    <row r="27" ht="15.75" customHeight="1"/>
    <row r="28" ht="21.75" customHeight="1">
      <c r="A28" s="29" t="s">
        <v>87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</row>
    <row r="29" ht="18.0" customHeight="1">
      <c r="A29" s="30" t="s">
        <v>88</v>
      </c>
      <c r="B29" s="30" t="s">
        <v>89</v>
      </c>
      <c r="C29" s="30" t="s">
        <v>90</v>
      </c>
      <c r="D29" s="30" t="s">
        <v>91</v>
      </c>
      <c r="E29" s="31" t="s">
        <v>459</v>
      </c>
      <c r="F29" s="21"/>
      <c r="G29" s="31" t="s">
        <v>460</v>
      </c>
      <c r="H29" s="21"/>
      <c r="I29" s="31" t="s">
        <v>461</v>
      </c>
      <c r="J29" s="21"/>
      <c r="K29" s="31" t="s">
        <v>462</v>
      </c>
      <c r="L29" s="21"/>
      <c r="M29" s="30" t="s">
        <v>6</v>
      </c>
      <c r="N29" s="31" t="s">
        <v>96</v>
      </c>
      <c r="O29" s="21"/>
      <c r="P29" s="30" t="s">
        <v>2</v>
      </c>
    </row>
    <row r="30" ht="18.0" customHeight="1">
      <c r="A30" s="32"/>
      <c r="B30" s="32"/>
      <c r="C30" s="32"/>
      <c r="D30" s="32"/>
      <c r="E30" s="3" t="s">
        <v>97</v>
      </c>
      <c r="F30" s="3" t="s">
        <v>98</v>
      </c>
      <c r="G30" s="3" t="s">
        <v>97</v>
      </c>
      <c r="H30" s="3" t="s">
        <v>98</v>
      </c>
      <c r="I30" s="3" t="s">
        <v>97</v>
      </c>
      <c r="J30" s="3" t="s">
        <v>98</v>
      </c>
      <c r="K30" s="3" t="s">
        <v>97</v>
      </c>
      <c r="L30" s="3" t="s">
        <v>98</v>
      </c>
      <c r="M30" s="32"/>
      <c r="N30" s="3" t="s">
        <v>99</v>
      </c>
      <c r="O30" s="3" t="s">
        <v>100</v>
      </c>
      <c r="P30" s="32"/>
    </row>
    <row r="31" ht="36.0" customHeight="1">
      <c r="A31" s="33" t="s">
        <v>532</v>
      </c>
      <c r="B31" s="34" t="s">
        <v>143</v>
      </c>
      <c r="C31" s="34" t="s">
        <v>434</v>
      </c>
      <c r="D31" s="35" t="s">
        <v>103</v>
      </c>
      <c r="E31" s="36"/>
      <c r="F31" s="37"/>
      <c r="G31" s="36"/>
      <c r="H31" s="37"/>
      <c r="I31" s="36"/>
      <c r="J31" s="37"/>
      <c r="K31" s="36"/>
      <c r="L31" s="37"/>
      <c r="M31" s="38" t="s">
        <v>533</v>
      </c>
      <c r="N31" s="39" t="str">
        <f>IF(OR(NOT(ISNUMBER(K31)),K31=0),"",ROUND(K31*(1+Settings!$B$9),0))</f>
        <v/>
      </c>
      <c r="O31" s="39" t="str">
        <f>IF(OR(NOT(ISNUMBER(K31)),K31=0),"",ROUND(K31*(1+Settings!$C$9),0))</f>
        <v/>
      </c>
      <c r="P31" s="40" t="s">
        <v>13</v>
      </c>
    </row>
    <row r="32" ht="36.0" customHeight="1">
      <c r="A32" s="33" t="s">
        <v>534</v>
      </c>
      <c r="B32" s="34" t="s">
        <v>143</v>
      </c>
      <c r="C32" s="34" t="s">
        <v>102</v>
      </c>
      <c r="D32" s="35" t="s">
        <v>535</v>
      </c>
      <c r="E32" s="36"/>
      <c r="F32" s="37"/>
      <c r="G32" s="36"/>
      <c r="H32" s="37"/>
      <c r="I32" s="36"/>
      <c r="J32" s="37"/>
      <c r="K32" s="36"/>
      <c r="L32" s="37"/>
      <c r="M32" s="38" t="s">
        <v>536</v>
      </c>
      <c r="N32" s="34" t="s">
        <v>118</v>
      </c>
      <c r="O32" s="34" t="s">
        <v>118</v>
      </c>
      <c r="P32" s="40" t="s">
        <v>13</v>
      </c>
    </row>
    <row r="33" ht="36.0" customHeight="1">
      <c r="A33" s="33" t="s">
        <v>537</v>
      </c>
      <c r="B33" s="34" t="s">
        <v>142</v>
      </c>
      <c r="C33" s="34" t="s">
        <v>214</v>
      </c>
      <c r="D33" s="35" t="s">
        <v>538</v>
      </c>
      <c r="E33" s="36"/>
      <c r="F33" s="37"/>
      <c r="G33" s="36"/>
      <c r="H33" s="37"/>
      <c r="I33" s="36"/>
      <c r="J33" s="37"/>
      <c r="K33" s="36"/>
      <c r="L33" s="37"/>
      <c r="M33" s="38" t="s">
        <v>539</v>
      </c>
      <c r="N33" s="39" t="str">
        <f>IF(OR(NOT(ISNUMBER(K33)),K33=0),"",ROUND(K33*(1+Settings!$B$6),0))</f>
        <v/>
      </c>
      <c r="O33" s="39" t="str">
        <f>IF(OR(NOT(ISNUMBER(K33)),K33=0),"",ROUND(K33*(1+Settings!$C$6),0))</f>
        <v/>
      </c>
      <c r="P33" s="40" t="s">
        <v>7</v>
      </c>
    </row>
    <row r="34" ht="36.0" customHeight="1">
      <c r="A34" s="33" t="s">
        <v>540</v>
      </c>
      <c r="B34" s="34" t="s">
        <v>102</v>
      </c>
      <c r="C34" s="34" t="s">
        <v>52</v>
      </c>
      <c r="D34" s="35" t="s">
        <v>440</v>
      </c>
      <c r="E34" s="36"/>
      <c r="F34" s="37"/>
      <c r="G34" s="36"/>
      <c r="H34" s="37"/>
      <c r="I34" s="36"/>
      <c r="J34" s="37"/>
      <c r="K34" s="36"/>
      <c r="L34" s="37"/>
      <c r="M34" s="38" t="s">
        <v>541</v>
      </c>
      <c r="N34" s="39" t="str">
        <f>IF(OR(NOT(ISNUMBER(K34)),K34=0),"",ROUND(K34*(1+Settings!$B$8),0))</f>
        <v/>
      </c>
      <c r="O34" s="39" t="str">
        <f>IF(OR(NOT(ISNUMBER(K34)),K34=0),"",ROUND(K34*(1+Settings!$C$8),0))</f>
        <v/>
      </c>
      <c r="P34" s="40" t="s">
        <v>11</v>
      </c>
    </row>
    <row r="35" ht="36.0" customHeight="1">
      <c r="A35" s="33" t="s">
        <v>542</v>
      </c>
      <c r="B35" s="34" t="s">
        <v>102</v>
      </c>
      <c r="C35" s="34" t="s">
        <v>49</v>
      </c>
      <c r="D35" s="35" t="s">
        <v>327</v>
      </c>
      <c r="E35" s="36"/>
      <c r="F35" s="37"/>
      <c r="G35" s="36"/>
      <c r="H35" s="37"/>
      <c r="I35" s="36"/>
      <c r="J35" s="37"/>
      <c r="K35" s="36"/>
      <c r="L35" s="37"/>
      <c r="M35" s="38" t="s">
        <v>543</v>
      </c>
      <c r="N35" s="39" t="str">
        <f>IF(OR(NOT(ISNUMBER(K35)),K35=0),"",ROUND(K35*(1+Settings!$B$8),0))</f>
        <v/>
      </c>
      <c r="O35" s="39" t="str">
        <f>IF(OR(NOT(ISNUMBER(K35)),K35=0),"",ROUND(K35*(1+Settings!$C$8),0))</f>
        <v/>
      </c>
      <c r="P35" s="40" t="s">
        <v>11</v>
      </c>
    </row>
    <row r="36" ht="36.0" customHeight="1">
      <c r="A36" s="33" t="s">
        <v>544</v>
      </c>
      <c r="B36" s="34" t="s">
        <v>196</v>
      </c>
      <c r="C36" s="34" t="s">
        <v>545</v>
      </c>
      <c r="D36" s="35" t="s">
        <v>420</v>
      </c>
      <c r="E36" s="36"/>
      <c r="F36" s="37"/>
      <c r="G36" s="36"/>
      <c r="H36" s="37"/>
      <c r="I36" s="36"/>
      <c r="J36" s="37"/>
      <c r="K36" s="36"/>
      <c r="L36" s="37"/>
      <c r="M36" s="38" t="s">
        <v>546</v>
      </c>
      <c r="N36" s="34" t="s">
        <v>118</v>
      </c>
      <c r="O36" s="34" t="s">
        <v>118</v>
      </c>
      <c r="P36" s="40" t="s">
        <v>15</v>
      </c>
    </row>
    <row r="37" ht="36.0" customHeight="1">
      <c r="A37" s="33" t="s">
        <v>547</v>
      </c>
      <c r="B37" s="34" t="s">
        <v>102</v>
      </c>
      <c r="C37" s="34" t="s">
        <v>548</v>
      </c>
      <c r="D37" s="35" t="s">
        <v>261</v>
      </c>
      <c r="E37" s="36"/>
      <c r="F37" s="37"/>
      <c r="G37" s="36"/>
      <c r="H37" s="37"/>
      <c r="I37" s="36"/>
      <c r="J37" s="37"/>
      <c r="K37" s="36"/>
      <c r="L37" s="37"/>
      <c r="M37" s="38" t="s">
        <v>549</v>
      </c>
      <c r="N37" s="39" t="str">
        <f>IF(OR(NOT(ISNUMBER(K37)),K37=0),"",ROUND(K37*(1+Settings!$B$11),0))</f>
        <v/>
      </c>
      <c r="O37" s="39" t="str">
        <f>IF(OR(NOT(ISNUMBER(K37)),K37=0),"",ROUND(K37*(1+Settings!$C$11),0))</f>
        <v/>
      </c>
      <c r="P37" s="40" t="s">
        <v>17</v>
      </c>
    </row>
    <row r="38" ht="15.75" customHeight="1"/>
    <row r="39" ht="15.75" customHeight="1"/>
    <row r="40" ht="21.75" customHeight="1">
      <c r="A40" s="15" t="s">
        <v>123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</row>
    <row r="41" ht="18.0" customHeight="1">
      <c r="A41" s="19" t="s">
        <v>39</v>
      </c>
      <c r="B41" s="20"/>
      <c r="C41" s="20"/>
      <c r="D41" s="20"/>
      <c r="E41" s="20"/>
      <c r="F41" s="20"/>
      <c r="G41" s="21"/>
      <c r="H41" s="19" t="s">
        <v>40</v>
      </c>
      <c r="I41" s="20"/>
      <c r="J41" s="21"/>
      <c r="K41" s="19" t="s">
        <v>124</v>
      </c>
      <c r="L41" s="20"/>
      <c r="M41" s="20"/>
      <c r="N41" s="20"/>
      <c r="O41" s="20"/>
      <c r="P41" s="21"/>
    </row>
    <row r="42" ht="21.75" customHeight="1">
      <c r="A42" s="22" t="s">
        <v>125</v>
      </c>
      <c r="B42" s="20"/>
      <c r="C42" s="20"/>
      <c r="D42" s="20"/>
      <c r="E42" s="20"/>
      <c r="F42" s="20"/>
      <c r="G42" s="21"/>
      <c r="H42" s="22" t="s">
        <v>126</v>
      </c>
      <c r="I42" s="20"/>
      <c r="J42" s="21"/>
      <c r="K42" s="23" t="s">
        <v>550</v>
      </c>
      <c r="L42" s="20"/>
      <c r="M42" s="20"/>
      <c r="N42" s="20"/>
      <c r="O42" s="20"/>
      <c r="P42" s="21"/>
    </row>
    <row r="43" ht="21.75" customHeight="1">
      <c r="A43" s="24" t="s">
        <v>128</v>
      </c>
      <c r="B43" s="20"/>
      <c r="C43" s="20"/>
      <c r="D43" s="20"/>
      <c r="E43" s="20"/>
      <c r="F43" s="20"/>
      <c r="G43" s="21"/>
      <c r="H43" s="24" t="s">
        <v>129</v>
      </c>
      <c r="I43" s="20"/>
      <c r="J43" s="21"/>
      <c r="K43" s="25" t="s">
        <v>551</v>
      </c>
      <c r="L43" s="20"/>
      <c r="M43" s="20"/>
      <c r="N43" s="20"/>
      <c r="O43" s="20"/>
      <c r="P43" s="21"/>
    </row>
    <row r="44" ht="21.75" customHeight="1">
      <c r="A44" s="22" t="s">
        <v>367</v>
      </c>
      <c r="B44" s="20"/>
      <c r="C44" s="20"/>
      <c r="D44" s="20"/>
      <c r="E44" s="20"/>
      <c r="F44" s="20"/>
      <c r="G44" s="21"/>
      <c r="H44" s="22" t="s">
        <v>368</v>
      </c>
      <c r="I44" s="20"/>
      <c r="J44" s="21"/>
      <c r="K44" s="23" t="s">
        <v>552</v>
      </c>
      <c r="L44" s="20"/>
      <c r="M44" s="20"/>
      <c r="N44" s="20"/>
      <c r="O44" s="20"/>
      <c r="P44" s="21"/>
    </row>
    <row r="45" ht="15.75" customHeight="1"/>
    <row r="46" ht="15.75" customHeight="1">
      <c r="A46" s="8" t="s">
        <v>553</v>
      </c>
    </row>
    <row r="47" ht="15.75" customHeight="1">
      <c r="A47" s="3" t="s">
        <v>371</v>
      </c>
      <c r="B47" s="3" t="s">
        <v>554</v>
      </c>
      <c r="C47" s="3" t="s">
        <v>373</v>
      </c>
      <c r="D47" s="3" t="s">
        <v>374</v>
      </c>
      <c r="E47" s="3" t="s">
        <v>375</v>
      </c>
    </row>
    <row r="48" ht="27.75" customHeight="1">
      <c r="A48" s="33" t="s">
        <v>532</v>
      </c>
      <c r="B48" s="44" t="s">
        <v>398</v>
      </c>
      <c r="C48" s="34" t="s">
        <v>118</v>
      </c>
      <c r="D48" s="34" t="s">
        <v>118</v>
      </c>
      <c r="E48" s="34" t="s">
        <v>118</v>
      </c>
    </row>
    <row r="49" ht="27.75" customHeight="1">
      <c r="A49" s="33" t="s">
        <v>534</v>
      </c>
      <c r="B49" s="44" t="s">
        <v>398</v>
      </c>
      <c r="C49" s="34" t="s">
        <v>118</v>
      </c>
      <c r="D49" s="34" t="s">
        <v>118</v>
      </c>
      <c r="E49" s="34" t="s">
        <v>118</v>
      </c>
    </row>
    <row r="50" ht="27.75" customHeight="1">
      <c r="A50" s="33" t="s">
        <v>537</v>
      </c>
      <c r="B50" s="13" t="s">
        <v>213</v>
      </c>
      <c r="C50" s="43" t="str">
        <f>IF(ISNUMBER(M2D4!K31),M2D4!K31,"")</f>
        <v/>
      </c>
      <c r="D50" s="39" t="str">
        <f>IF(OR(NOT(ISNUMBER(M2D4!K31)),M2D4!K31=0),"",ROUND(M2D4!K31*(1+Settings!$B$6),0))</f>
        <v/>
      </c>
      <c r="E50" s="39" t="str">
        <f>IF(OR(NOT(ISNUMBER(M2D4!K31)),M2D4!K31=0),"",ROUND(M2D4!K31*(1+Settings!$C$6),0))</f>
        <v/>
      </c>
    </row>
    <row r="51" ht="27.75" customHeight="1">
      <c r="A51" s="33" t="s">
        <v>540</v>
      </c>
      <c r="B51" s="13" t="s">
        <v>326</v>
      </c>
      <c r="C51" s="43" t="str">
        <f>IF(ISNUMBER(M2D4!K33),M2D4!K33,"")</f>
        <v/>
      </c>
      <c r="D51" s="39" t="str">
        <f>IF(OR(NOT(ISNUMBER(M2D4!K33)),M2D4!K33=0),"",ROUND(M2D4!K33*(1+Settings!$B$8),0))</f>
        <v/>
      </c>
      <c r="E51" s="39" t="str">
        <f>IF(OR(NOT(ISNUMBER(M2D4!K33)),M2D4!K33=0),"",ROUND(M2D4!K33*(1+Settings!$C$8),0))</f>
        <v/>
      </c>
    </row>
    <row r="52" ht="27.75" customHeight="1">
      <c r="A52" s="33" t="s">
        <v>542</v>
      </c>
      <c r="B52" s="13" t="s">
        <v>326</v>
      </c>
      <c r="C52" s="43" t="str">
        <f>IF(ISNUMBER(M2D4!K33),M2D4!K33,"")</f>
        <v/>
      </c>
      <c r="D52" s="39" t="str">
        <f>IF(OR(NOT(ISNUMBER(M2D4!K33)),M2D4!K33=0),"",ROUND(M2D4!K33*(1+Settings!$B$8),0))</f>
        <v/>
      </c>
      <c r="E52" s="39" t="str">
        <f>IF(OR(NOT(ISNUMBER(M2D4!K33)),M2D4!K33=0),"",ROUND(M2D4!K33*(1+Settings!$C$8),0))</f>
        <v/>
      </c>
    </row>
    <row r="53" ht="27.75" customHeight="1">
      <c r="A53" s="33" t="s">
        <v>544</v>
      </c>
      <c r="B53" s="13" t="s">
        <v>331</v>
      </c>
      <c r="C53" s="43" t="str">
        <f>IF(ISNUMBER(M2D4!K35),M2D4!K35,"")</f>
        <v/>
      </c>
      <c r="D53" s="34" t="s">
        <v>118</v>
      </c>
      <c r="E53" s="34" t="s">
        <v>118</v>
      </c>
    </row>
    <row r="54" ht="27.75" customHeight="1">
      <c r="A54" s="33" t="s">
        <v>547</v>
      </c>
      <c r="B54" s="13" t="s">
        <v>335</v>
      </c>
      <c r="C54" s="43" t="str">
        <f>IF(ISNUMBER(M2D4!K36),M2D4!K36,"")</f>
        <v/>
      </c>
      <c r="D54" s="39" t="str">
        <f>IF(OR(NOT(ISNUMBER(M2D4!K36)),M2D4!K36=0),"",ROUND(M2D4!K36*(1+Settings!$B$11),0))</f>
        <v/>
      </c>
      <c r="E54" s="39" t="str">
        <f>IF(OR(NOT(ISNUMBER(M2D4!K36)),M2D4!K36=0),"",ROUND(M2D4!K36*(1+Settings!$C$11),0))</f>
        <v/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H17:J17"/>
    <mergeCell ref="K17:P17"/>
    <mergeCell ref="A15:G15"/>
    <mergeCell ref="H15:J15"/>
    <mergeCell ref="K15:P15"/>
    <mergeCell ref="A16:G16"/>
    <mergeCell ref="H16:J16"/>
    <mergeCell ref="K16:P16"/>
    <mergeCell ref="A17:G17"/>
    <mergeCell ref="A18:G18"/>
    <mergeCell ref="H18:J18"/>
    <mergeCell ref="K18:P18"/>
    <mergeCell ref="A19:G19"/>
    <mergeCell ref="H19:J19"/>
    <mergeCell ref="K19:P19"/>
    <mergeCell ref="A21:P21"/>
    <mergeCell ref="A22:P22"/>
    <mergeCell ref="A23:G23"/>
    <mergeCell ref="H23:J23"/>
    <mergeCell ref="K23:P23"/>
    <mergeCell ref="A24:G24"/>
    <mergeCell ref="H24:J24"/>
    <mergeCell ref="K24:P24"/>
    <mergeCell ref="D29:D30"/>
    <mergeCell ref="E29:F29"/>
    <mergeCell ref="K29:L29"/>
    <mergeCell ref="M29:M30"/>
    <mergeCell ref="N29:O29"/>
    <mergeCell ref="P29:P30"/>
    <mergeCell ref="A25:G25"/>
    <mergeCell ref="H25:J25"/>
    <mergeCell ref="K25:P25"/>
    <mergeCell ref="A28:P28"/>
    <mergeCell ref="A29:A30"/>
    <mergeCell ref="B29:B30"/>
    <mergeCell ref="C29:C30"/>
    <mergeCell ref="A43:G43"/>
    <mergeCell ref="H43:J43"/>
    <mergeCell ref="K43:P43"/>
    <mergeCell ref="A44:G44"/>
    <mergeCell ref="H44:J44"/>
    <mergeCell ref="K44:P44"/>
    <mergeCell ref="A46:P46"/>
    <mergeCell ref="A40:P40"/>
    <mergeCell ref="A41:G41"/>
    <mergeCell ref="H41:J41"/>
    <mergeCell ref="K41:P41"/>
    <mergeCell ref="A42:G42"/>
    <mergeCell ref="H42:J42"/>
    <mergeCell ref="K42:P42"/>
    <mergeCell ref="A1:P1"/>
    <mergeCell ref="A2:P2"/>
    <mergeCell ref="A3:P3"/>
    <mergeCell ref="A4:P4"/>
    <mergeCell ref="A5:G5"/>
    <mergeCell ref="H5:J5"/>
    <mergeCell ref="K5:P5"/>
    <mergeCell ref="H8:J8"/>
    <mergeCell ref="K8:P8"/>
    <mergeCell ref="A6:G6"/>
    <mergeCell ref="H6:J6"/>
    <mergeCell ref="K6:P6"/>
    <mergeCell ref="A7:G7"/>
    <mergeCell ref="H7:J7"/>
    <mergeCell ref="K7:P7"/>
    <mergeCell ref="A8:G8"/>
    <mergeCell ref="A9:G9"/>
    <mergeCell ref="H9:J9"/>
    <mergeCell ref="K9:P9"/>
    <mergeCell ref="A10:P10"/>
    <mergeCell ref="A11:G11"/>
    <mergeCell ref="H11:J11"/>
    <mergeCell ref="K11:P11"/>
    <mergeCell ref="H14:J14"/>
    <mergeCell ref="K14:P14"/>
    <mergeCell ref="A12:G12"/>
    <mergeCell ref="H12:J12"/>
    <mergeCell ref="K12:P12"/>
    <mergeCell ref="A13:G13"/>
    <mergeCell ref="H13:J13"/>
    <mergeCell ref="K13:P13"/>
    <mergeCell ref="A14:G14"/>
    <mergeCell ref="G29:H29"/>
    <mergeCell ref="I29:J29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14.0"/>
    <col customWidth="1" min="4" max="4" width="16.0"/>
    <col customWidth="1" min="5" max="5" width="22.0"/>
    <col customWidth="1" min="6" max="6" width="18.0"/>
    <col customWidth="1" min="7" max="26" width="8.71"/>
  </cols>
  <sheetData>
    <row r="1">
      <c r="A1" s="1" t="s">
        <v>555</v>
      </c>
    </row>
    <row r="2">
      <c r="A2" s="2" t="s">
        <v>556</v>
      </c>
    </row>
    <row r="4" ht="21.75" customHeight="1">
      <c r="A4" s="3" t="s">
        <v>557</v>
      </c>
      <c r="B4" s="3" t="s">
        <v>558</v>
      </c>
      <c r="C4" s="3" t="s">
        <v>559</v>
      </c>
      <c r="D4" s="3" t="s">
        <v>560</v>
      </c>
      <c r="E4" s="3" t="s">
        <v>561</v>
      </c>
      <c r="F4" s="3" t="s">
        <v>562</v>
      </c>
    </row>
    <row r="5">
      <c r="A5" s="46" t="s">
        <v>563</v>
      </c>
      <c r="B5" s="47" t="s">
        <v>564</v>
      </c>
      <c r="C5" s="48" t="s">
        <v>565</v>
      </c>
      <c r="D5" s="43" t="str">
        <f>IF(ISNUMBER(M1D2!K31),M1D2!K31,"")</f>
        <v/>
      </c>
      <c r="E5" s="40" t="s">
        <v>566</v>
      </c>
      <c r="F5" s="48" t="s">
        <v>118</v>
      </c>
    </row>
    <row r="6">
      <c r="A6" s="33" t="s">
        <v>563</v>
      </c>
      <c r="B6" s="44" t="s">
        <v>567</v>
      </c>
      <c r="C6" s="34" t="s">
        <v>568</v>
      </c>
      <c r="D6" s="43" t="str">
        <f>IF(ISNUMBER(M2D2!K31),M2D2!K31,"")</f>
        <v/>
      </c>
      <c r="E6" s="49" t="str">
        <f>IF(AND(ISNUMBER(M2D2!K31),ISNUMBER(M1D2!K31),M1D2!K31&gt;0),(M2D2!K31-M1D2!K31)/M1D2!K31,"")</f>
        <v/>
      </c>
      <c r="F6" s="43" t="str">
        <f>IF(ISNUMBER(M1D2!K31),M1D2!K31,"")</f>
        <v/>
      </c>
    </row>
    <row r="7">
      <c r="A7" s="46" t="s">
        <v>563</v>
      </c>
      <c r="B7" s="47" t="s">
        <v>569</v>
      </c>
      <c r="C7" s="48" t="s">
        <v>570</v>
      </c>
      <c r="D7" s="43" t="str">
        <f>IF(ISNUMBER(M3D2!K31),M3D2!K31,"")</f>
        <v/>
      </c>
      <c r="E7" s="49" t="str">
        <f>IF(AND(ISNUMBER(M3D2!K31),ISNUMBER(M1D2!K31),M1D2!K31&gt;0),(M3D2!K31-M1D2!K31)/M1D2!K31,"")</f>
        <v/>
      </c>
      <c r="F7" s="43" t="str">
        <f>IF(ISNUMBER(M1D2!K31),M1D2!K31,"")</f>
        <v/>
      </c>
    </row>
    <row r="8">
      <c r="A8" s="33" t="s">
        <v>563</v>
      </c>
      <c r="B8" s="44" t="s">
        <v>571</v>
      </c>
      <c r="C8" s="34" t="s">
        <v>572</v>
      </c>
      <c r="D8" s="43" t="str">
        <f>IF(ISNUMBER(M4D3!K31),M4D3!K31,"")</f>
        <v/>
      </c>
      <c r="E8" s="49" t="str">
        <f>IF(AND(ISNUMBER(M4D3!K31),ISNUMBER(M2D2!K31),M2D2!K31&gt;0),(M4D3!K31-M2D2!K31)/M2D2!K31,"")</f>
        <v/>
      </c>
      <c r="F8" s="43" t="str">
        <f>IF(ISNUMBER(M2D2!K31),M2D2!K31,"")</f>
        <v/>
      </c>
    </row>
    <row r="9">
      <c r="A9" s="46" t="s">
        <v>573</v>
      </c>
      <c r="B9" s="47" t="s">
        <v>574</v>
      </c>
      <c r="C9" s="48" t="s">
        <v>565</v>
      </c>
      <c r="D9" s="43" t="str">
        <f>IF(ISNUMBER(M1D4!K31),M1D4!K31,"")</f>
        <v/>
      </c>
      <c r="E9" s="40" t="s">
        <v>566</v>
      </c>
      <c r="F9" s="48" t="s">
        <v>118</v>
      </c>
    </row>
    <row r="10">
      <c r="A10" s="33" t="s">
        <v>573</v>
      </c>
      <c r="B10" s="44" t="s">
        <v>575</v>
      </c>
      <c r="C10" s="34" t="s">
        <v>568</v>
      </c>
      <c r="D10" s="43" t="str">
        <f>IF(ISNUMBER(M2D4!K31),M2D4!K31,"")</f>
        <v/>
      </c>
      <c r="E10" s="49" t="str">
        <f>IF(AND(ISNUMBER(M2D4!K31),ISNUMBER(M1D4!K31),M1D4!K31&gt;0),(M2D4!K31-M1D4!K31)/M1D4!K31,"")</f>
        <v/>
      </c>
      <c r="F10" s="43" t="str">
        <f>IF(ISNUMBER(M1D4!K31),M1D4!K31,"")</f>
        <v/>
      </c>
    </row>
    <row r="11">
      <c r="A11" s="46" t="s">
        <v>573</v>
      </c>
      <c r="B11" s="47" t="s">
        <v>576</v>
      </c>
      <c r="C11" s="48" t="s">
        <v>570</v>
      </c>
      <c r="D11" s="43" t="str">
        <f>IF(ISNUMBER(M3D4!K31),M3D4!K31,"")</f>
        <v/>
      </c>
      <c r="E11" s="49" t="str">
        <f>IF(AND(ISNUMBER(M3D4!K31),ISNUMBER(M1D4!K31),M1D4!K31&gt;0),(M3D4!K31-M1D4!K31)/M1D4!K31,"")</f>
        <v/>
      </c>
      <c r="F11" s="43" t="str">
        <f>IF(ISNUMBER(M1D4!K31),M1D4!K31,"")</f>
        <v/>
      </c>
    </row>
    <row r="12">
      <c r="A12" s="33" t="s">
        <v>573</v>
      </c>
      <c r="B12" s="44" t="s">
        <v>577</v>
      </c>
      <c r="C12" s="34" t="s">
        <v>572</v>
      </c>
      <c r="D12" s="43" t="str">
        <f>IF(ISNUMBER(M4D4!K33),M4D4!K33,"")</f>
        <v/>
      </c>
      <c r="E12" s="49" t="str">
        <f>IF(AND(ISNUMBER(M4D4!K33),ISNUMBER(M2D4!K31),M2D4!K31&gt;0),(M4D4!K33-M2D4!K31)/M2D4!K31,"")</f>
        <v/>
      </c>
      <c r="F12" s="43" t="str">
        <f>IF(ISNUMBER(M2D4!K31),M2D4!K31,"")</f>
        <v/>
      </c>
    </row>
    <row r="13">
      <c r="A13" s="46" t="s">
        <v>578</v>
      </c>
      <c r="B13" s="47" t="s">
        <v>579</v>
      </c>
      <c r="C13" s="48" t="s">
        <v>565</v>
      </c>
      <c r="D13" s="43" t="str">
        <f>IF(ISNUMBER(M1D2!K32),M1D2!K32,"")</f>
        <v/>
      </c>
      <c r="E13" s="40" t="s">
        <v>566</v>
      </c>
      <c r="F13" s="48" t="s">
        <v>118</v>
      </c>
    </row>
    <row r="14">
      <c r="A14" s="33" t="s">
        <v>578</v>
      </c>
      <c r="B14" s="44" t="s">
        <v>580</v>
      </c>
      <c r="C14" s="34" t="s">
        <v>568</v>
      </c>
      <c r="D14" s="43" t="str">
        <f>IF(ISNUMBER(M2D1!K32),M2D1!K32,"")</f>
        <v/>
      </c>
      <c r="E14" s="49" t="str">
        <f>IF(AND(ISNUMBER(M2D1!K32),ISNUMBER(M1D2!K32),M1D2!K32&gt;0),(M2D1!K32-M1D2!K32)/M1D2!K32,"")</f>
        <v/>
      </c>
      <c r="F14" s="43" t="str">
        <f>IF(ISNUMBER(M1D2!K32),M1D2!K32,"")</f>
        <v/>
      </c>
    </row>
    <row r="15">
      <c r="A15" s="46" t="s">
        <v>581</v>
      </c>
      <c r="B15" s="47" t="s">
        <v>582</v>
      </c>
      <c r="C15" s="48" t="s">
        <v>570</v>
      </c>
      <c r="D15" s="43" t="str">
        <f>IF(ISNUMBER(M3D2!K32),M3D2!K32,"")</f>
        <v/>
      </c>
      <c r="E15" s="49" t="str">
        <f>IF(AND(ISNUMBER(M3D2!K32),ISNUMBER(M1D2!K32),M1D2!K32&gt;0),(M3D2!K32-M1D2!K32)/M1D2!K32,"")</f>
        <v/>
      </c>
      <c r="F15" s="43" t="str">
        <f>IF(ISNUMBER(M1D2!K32),M1D2!K32,"")</f>
        <v/>
      </c>
    </row>
    <row r="16">
      <c r="A16" s="33" t="s">
        <v>581</v>
      </c>
      <c r="B16" s="44" t="s">
        <v>583</v>
      </c>
      <c r="C16" s="34" t="s">
        <v>572</v>
      </c>
      <c r="D16" s="43" t="str">
        <f>IF(ISNUMBER(M4D1!K31),M4D1!K31,"")</f>
        <v/>
      </c>
      <c r="E16" s="49" t="str">
        <f>IF(AND(ISNUMBER(M4D1!K31),ISNUMBER(M2D1!K32),M2D1!K32&gt;0),(M4D1!K31-M2D1!K32)/M2D1!K32,"")</f>
        <v/>
      </c>
      <c r="F16" s="43" t="str">
        <f>IF(ISNUMBER(M2D1!K32),M2D1!K32,"")</f>
        <v/>
      </c>
    </row>
    <row r="17">
      <c r="A17" s="46" t="s">
        <v>584</v>
      </c>
      <c r="B17" s="47" t="s">
        <v>585</v>
      </c>
      <c r="C17" s="48" t="s">
        <v>565</v>
      </c>
      <c r="D17" s="43" t="str">
        <f>IF(ISNUMBER(M1D2!K34),M1D2!K34,"")</f>
        <v/>
      </c>
      <c r="E17" s="40" t="s">
        <v>566</v>
      </c>
      <c r="F17" s="48" t="s">
        <v>118</v>
      </c>
    </row>
    <row r="18">
      <c r="A18" s="33" t="s">
        <v>584</v>
      </c>
      <c r="B18" s="44" t="s">
        <v>586</v>
      </c>
      <c r="C18" s="34" t="s">
        <v>568</v>
      </c>
      <c r="D18" s="43" t="str">
        <f>IF(ISNUMBER(M2D2!K32),M2D2!K32,"")</f>
        <v/>
      </c>
      <c r="E18" s="49" t="str">
        <f>IF(AND(ISNUMBER(M2D2!K32),ISNUMBER(M1D2!K34),M1D2!K34&gt;0),(M2D2!K32-M1D2!K34)/M1D2!K34,"")</f>
        <v/>
      </c>
      <c r="F18" s="43" t="str">
        <f>IF(ISNUMBER(M1D2!K34),M1D2!K34,"")</f>
        <v/>
      </c>
    </row>
    <row r="19">
      <c r="A19" s="46" t="s">
        <v>584</v>
      </c>
      <c r="B19" s="47" t="s">
        <v>587</v>
      </c>
      <c r="C19" s="48" t="s">
        <v>570</v>
      </c>
      <c r="D19" s="43" t="str">
        <f>IF(ISNUMBER(M3D2!K33),M3D2!K33,"")</f>
        <v/>
      </c>
      <c r="E19" s="49" t="str">
        <f>IF(AND(ISNUMBER(M3D2!K33),ISNUMBER(M1D2!K34),M1D2!K34&gt;0),(M3D2!K33-M1D2!K34)/M1D2!K34,"")</f>
        <v/>
      </c>
      <c r="F19" s="43" t="str">
        <f>IF(ISNUMBER(M1D2!K34),M1D2!K34,"")</f>
        <v/>
      </c>
    </row>
    <row r="20">
      <c r="A20" s="33" t="s">
        <v>584</v>
      </c>
      <c r="B20" s="44" t="s">
        <v>588</v>
      </c>
      <c r="C20" s="34" t="s">
        <v>572</v>
      </c>
      <c r="D20" s="43" t="str">
        <f>IF(ISNUMBER(M4D3!K32),M4D3!K32,"")</f>
        <v/>
      </c>
      <c r="E20" s="49" t="str">
        <f>IF(AND(ISNUMBER(M4D3!K32),ISNUMBER(M2D2!K32),M2D2!K32&gt;0),(M4D3!K32-M2D2!K32)/M2D2!K32,"")</f>
        <v/>
      </c>
      <c r="F20" s="43" t="str">
        <f>IF(ISNUMBER(M2D2!K32),M2D2!K32,"")</f>
        <v/>
      </c>
    </row>
    <row r="21" ht="15.75" customHeight="1">
      <c r="A21" s="46" t="s">
        <v>589</v>
      </c>
      <c r="B21" s="47" t="s">
        <v>590</v>
      </c>
      <c r="C21" s="48" t="s">
        <v>568</v>
      </c>
      <c r="D21" s="43" t="str">
        <f>IF(ISNUMBER(M2D2!K33),M2D2!K33,"")</f>
        <v/>
      </c>
      <c r="E21" s="40" t="s">
        <v>566</v>
      </c>
      <c r="F21" s="48" t="s">
        <v>118</v>
      </c>
    </row>
    <row r="22" ht="15.75" customHeight="1">
      <c r="A22" s="33" t="s">
        <v>589</v>
      </c>
      <c r="B22" s="44" t="s">
        <v>591</v>
      </c>
      <c r="C22" s="34" t="s">
        <v>572</v>
      </c>
      <c r="D22" s="43" t="str">
        <f>IF(ISNUMBER(M4D3!K33),M4D3!K33,"")</f>
        <v/>
      </c>
      <c r="E22" s="49" t="str">
        <f>IF(AND(ISNUMBER(M4D3!K33),ISNUMBER(M2D2!K33),M2D2!K33&gt;0),(M4D3!K33-M2D2!K33)/M2D2!K33,"")</f>
        <v/>
      </c>
      <c r="F22" s="43" t="str">
        <f>IF(ISNUMBER(M2D2!K33),M2D2!K33,"")</f>
        <v/>
      </c>
    </row>
    <row r="23" ht="15.75" customHeight="1">
      <c r="A23" s="46" t="s">
        <v>592</v>
      </c>
      <c r="B23" s="47" t="s">
        <v>593</v>
      </c>
      <c r="C23" s="48" t="s">
        <v>568</v>
      </c>
      <c r="D23" s="43" t="str">
        <f>IF(ISNUMBER(M2D3!K32),M2D3!K32,"")</f>
        <v/>
      </c>
      <c r="E23" s="40" t="s">
        <v>566</v>
      </c>
      <c r="F23" s="48" t="s">
        <v>118</v>
      </c>
    </row>
    <row r="24" ht="15.75" customHeight="1">
      <c r="A24" s="33" t="s">
        <v>592</v>
      </c>
      <c r="B24" s="44" t="s">
        <v>594</v>
      </c>
      <c r="C24" s="34" t="s">
        <v>572</v>
      </c>
      <c r="D24" s="43" t="str">
        <f>IF(ISNUMBER(M4D2!K32),M4D2!K32,"")</f>
        <v/>
      </c>
      <c r="E24" s="49" t="str">
        <f>IF(AND(ISNUMBER(M4D2!K32),ISNUMBER(M2D3!K32),M2D3!K32&gt;0),(M4D2!K32-M2D3!K32)/M2D3!K32,"")</f>
        <v/>
      </c>
      <c r="F24" s="43" t="str">
        <f>IF(ISNUMBER(M2D3!K32),M2D3!K32,"")</f>
        <v/>
      </c>
    </row>
    <row r="25" ht="15.75" customHeight="1">
      <c r="A25" s="46" t="s">
        <v>595</v>
      </c>
      <c r="B25" s="47" t="s">
        <v>596</v>
      </c>
      <c r="C25" s="48" t="s">
        <v>565</v>
      </c>
      <c r="D25" s="43" t="str">
        <f>IF(ISNUMBER(M1D4!K33),M1D4!K33,"")</f>
        <v/>
      </c>
      <c r="E25" s="40" t="s">
        <v>566</v>
      </c>
      <c r="F25" s="48" t="s">
        <v>118</v>
      </c>
    </row>
    <row r="26" ht="15.75" customHeight="1">
      <c r="A26" s="33" t="s">
        <v>595</v>
      </c>
      <c r="B26" s="44" t="s">
        <v>597</v>
      </c>
      <c r="C26" s="34" t="s">
        <v>568</v>
      </c>
      <c r="D26" s="43" t="str">
        <f>IF(ISNUMBER(M2D1!K34),M2D1!K34,"")</f>
        <v/>
      </c>
      <c r="E26" s="49" t="str">
        <f>IF(AND(ISNUMBER(M2D1!K34),ISNUMBER(M1D4!K33),M1D4!K33&gt;0),(M2D1!K34-M1D4!K33)/M1D4!K33,"")</f>
        <v/>
      </c>
      <c r="F26" s="43" t="str">
        <f>IF(ISNUMBER(M1D4!K33),M1D4!K33,"")</f>
        <v/>
      </c>
    </row>
    <row r="27" ht="15.75" customHeight="1">
      <c r="A27" s="46" t="s">
        <v>595</v>
      </c>
      <c r="B27" s="47" t="s">
        <v>598</v>
      </c>
      <c r="C27" s="48" t="s">
        <v>570</v>
      </c>
      <c r="D27" s="43" t="str">
        <f>IF(ISNUMBER(M3D4!K33),M3D4!K33,"")</f>
        <v/>
      </c>
      <c r="E27" s="49" t="str">
        <f>IF(AND(ISNUMBER(M3D4!K33),ISNUMBER(M1D4!K33),M1D4!K33&gt;0),(M3D4!K33-M1D4!K33)/M1D4!K33,"")</f>
        <v/>
      </c>
      <c r="F27" s="43" t="str">
        <f>IF(ISNUMBER(M1D4!K33),M1D4!K33,"")</f>
        <v/>
      </c>
    </row>
    <row r="28" ht="15.75" customHeight="1">
      <c r="A28" s="33" t="s">
        <v>595</v>
      </c>
      <c r="B28" s="44" t="s">
        <v>599</v>
      </c>
      <c r="C28" s="34" t="s">
        <v>572</v>
      </c>
      <c r="D28" s="43" t="str">
        <f>IF(ISNUMBER(M4D2!K33),M4D2!K33,"")</f>
        <v/>
      </c>
      <c r="E28" s="49" t="str">
        <f>IF(AND(ISNUMBER(M4D2!K33),ISNUMBER(M2D1!K34),M2D1!K34&gt;0),(M4D2!K33-M2D1!K34)/M2D1!K34,"")</f>
        <v/>
      </c>
      <c r="F28" s="43" t="str">
        <f>IF(ISNUMBER(M2D1!K34),M2D1!K34,"")</f>
        <v/>
      </c>
    </row>
    <row r="29" ht="15.75" customHeight="1">
      <c r="A29" s="46" t="s">
        <v>600</v>
      </c>
      <c r="B29" s="47" t="s">
        <v>601</v>
      </c>
      <c r="C29" s="48" t="s">
        <v>568</v>
      </c>
      <c r="D29" s="43" t="str">
        <f>IF(ISNUMBER(M2D1!K33),M2D1!K33,"")</f>
        <v/>
      </c>
      <c r="E29" s="40" t="s">
        <v>566</v>
      </c>
      <c r="F29" s="48" t="s">
        <v>118</v>
      </c>
    </row>
    <row r="30" ht="15.75" customHeight="1">
      <c r="A30" s="33" t="s">
        <v>600</v>
      </c>
      <c r="B30" s="44" t="s">
        <v>602</v>
      </c>
      <c r="C30" s="34" t="s">
        <v>572</v>
      </c>
      <c r="D30" s="43" t="str">
        <f>IF(ISNUMBER(M4D1!K32),M4D1!K32,"")</f>
        <v/>
      </c>
      <c r="E30" s="49" t="str">
        <f>IF(AND(ISNUMBER(M4D1!K32),ISNUMBER(M2D1!K33),M2D1!K33&gt;0),(M4D1!K32-M2D1!K33)/M2D1!K33,"")</f>
        <v/>
      </c>
      <c r="F30" s="43" t="str">
        <f>IF(ISNUMBER(M2D1!K33),M2D1!K33,"")</f>
        <v/>
      </c>
    </row>
    <row r="31" ht="15.75" customHeight="1"/>
    <row r="32" ht="15.75" customHeight="1"/>
    <row r="33" ht="15.75" customHeight="1">
      <c r="A33" s="8" t="s">
        <v>603</v>
      </c>
    </row>
    <row r="34" ht="15.75" customHeight="1">
      <c r="A34" s="11" t="s">
        <v>604</v>
      </c>
      <c r="B34" s="50" t="str">
        <f>IFERROR(AVERAGE(E5:E30),"-")</f>
        <v>-</v>
      </c>
    </row>
    <row r="35" ht="15.75" customHeight="1">
      <c r="A35" s="2" t="s">
        <v>605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